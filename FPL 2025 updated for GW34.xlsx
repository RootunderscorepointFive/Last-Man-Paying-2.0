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3.xml" ContentType="application/vnd.openxmlformats-officedocument.drawing+xml"/>
  <Override PartName="/xl/drawings/drawing4.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5.xml" ContentType="application/vnd.openxmlformats-officedocument.drawing+xml"/>
  <Override PartName="/xl/drawings/drawing6.xml" ContentType="application/vnd.openxmlformats-officedocument.drawing+xml"/>
  <Override PartName="/xl/calcChain.xml" ContentType="application/vnd.openxmlformats-officedocument.spreadsheetml.calcChain+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https://d.docs.live.net/1196f8426b130d45/Desktop/FPL/"/>
    </mc:Choice>
  </mc:AlternateContent>
  <xr:revisionPtr revIDLastSave="2360" documentId="11_6E350D49DA2BACEABF531EB1D9C11817159606A2" xr6:coauthVersionLast="47" xr6:coauthVersionMax="47" xr10:uidLastSave="{7D8A7F1D-0612-4BCA-A97F-B930520C0DB1}"/>
  <bookViews>
    <workbookView xWindow="-120" yWindow="-120" windowWidth="29040" windowHeight="15720" activeTab="6" xr2:uid="{00000000-000D-0000-FFFF-FFFF00000000}"/>
  </bookViews>
  <sheets>
    <sheet name="Rules_202625" sheetId="1" r:id="rId1"/>
    <sheet name="FPL" sheetId="2" r:id="rId2"/>
    <sheet name="Roster" sheetId="3" r:id="rId3"/>
    <sheet name="Budget" sheetId="4" r:id="rId4"/>
    <sheet name="Sheet1" sheetId="11" r:id="rId5"/>
    <sheet name="Last Man Paying 2.0" sheetId="5" r:id="rId6"/>
    <sheet name="Stats" sheetId="7" r:id="rId7"/>
    <sheet name="Sheet2" sheetId="12" r:id="rId8"/>
    <sheet name="Funds Received" sheetId="10" r:id="rId9"/>
  </sheets>
  <definedNames>
    <definedName name="_xlnm._FilterDatabase" localSheetId="3" hidden="1">Budget!$A$8:$T$25</definedName>
    <definedName name="_xlnm._FilterDatabase" localSheetId="5" hidden="1">'Last Man Paying 2.0'!$B$8:$G$157</definedName>
    <definedName name="_xlnm._FilterDatabase" localSheetId="2" hidden="1">Roster!$B$8:$I$25</definedName>
    <definedName name="_xlnm._FilterDatabase" localSheetId="7" hidden="1">Sheet2!$B$2:$D$19</definedName>
    <definedName name="_xlnm._FilterDatabase" localSheetId="6" hidden="1">Stats!$A$8:$CL$25</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B18" i="7" l="1"/>
  <c r="AL41" i="7"/>
  <c r="F17" i="4"/>
  <c r="AQ19" i="7"/>
  <c r="CL19" i="7" s="1"/>
  <c r="AK30" i="7"/>
  <c r="AQ13" i="7"/>
  <c r="CL13" i="7" s="1"/>
  <c r="E19" i="3"/>
  <c r="G19" i="3" s="1"/>
  <c r="E24" i="3"/>
  <c r="G24" i="3" s="1"/>
  <c r="E23" i="3"/>
  <c r="G23" i="3" s="1"/>
  <c r="E18" i="3"/>
  <c r="G18" i="3" s="1"/>
  <c r="E16" i="3"/>
  <c r="G16" i="3" s="1"/>
  <c r="E15" i="3"/>
  <c r="G15" i="3" s="1"/>
  <c r="E14" i="3"/>
  <c r="E13" i="3"/>
  <c r="G13" i="3" s="1"/>
  <c r="E12" i="3"/>
  <c r="G12" i="3" s="1"/>
  <c r="E11" i="3"/>
  <c r="G11" i="3" s="1"/>
  <c r="E10" i="3"/>
  <c r="G10" i="3" s="1"/>
  <c r="E9" i="3"/>
  <c r="E17" i="3"/>
  <c r="E20" i="3"/>
  <c r="E21" i="3"/>
  <c r="G21" i="3" s="1"/>
  <c r="E22" i="3"/>
  <c r="J9" i="10"/>
  <c r="G5" i="10"/>
  <c r="H25" i="4"/>
  <c r="H23" i="4"/>
  <c r="H22" i="4"/>
  <c r="H21" i="4"/>
  <c r="H20" i="4"/>
  <c r="H19" i="4"/>
  <c r="H17" i="4"/>
  <c r="H16" i="4"/>
  <c r="H15" i="4"/>
  <c r="H13" i="4"/>
  <c r="H11" i="4"/>
  <c r="H9" i="4"/>
  <c r="G14" i="3"/>
  <c r="G22" i="3"/>
  <c r="G25" i="3"/>
  <c r="O20" i="10"/>
  <c r="O19" i="10"/>
  <c r="O18" i="10"/>
  <c r="O17" i="10"/>
  <c r="O16" i="10"/>
  <c r="O14" i="10"/>
  <c r="O13" i="10"/>
  <c r="H18" i="4" s="1"/>
  <c r="O12" i="10"/>
  <c r="O10" i="10"/>
  <c r="O9" i="10"/>
  <c r="H14" i="4" s="1"/>
  <c r="O8" i="10"/>
  <c r="O7" i="10"/>
  <c r="H12" i="4" s="1"/>
  <c r="O6" i="10"/>
  <c r="O5" i="10"/>
  <c r="H10" i="4" s="1"/>
  <c r="O4" i="10"/>
  <c r="J11" i="10"/>
  <c r="O11" i="10" s="1"/>
  <c r="I15" i="10"/>
  <c r="BZ17" i="7"/>
  <c r="BZ18" i="7"/>
  <c r="BZ23" i="7"/>
  <c r="E119" i="5"/>
  <c r="AQ14" i="7"/>
  <c r="CL14" i="7" s="1"/>
  <c r="AI45" i="7"/>
  <c r="AH47" i="7"/>
  <c r="BW16" i="7"/>
  <c r="BV21" i="7"/>
  <c r="BV18" i="7"/>
  <c r="AF27" i="7"/>
  <c r="AQ22" i="7"/>
  <c r="CL22" i="7" s="1"/>
  <c r="BU18" i="7"/>
  <c r="AE45" i="7"/>
  <c r="AD31" i="7"/>
  <c r="E103" i="5"/>
  <c r="E91" i="5"/>
  <c r="E92" i="5"/>
  <c r="E93" i="5"/>
  <c r="E94" i="5"/>
  <c r="E95" i="5"/>
  <c r="E96" i="5"/>
  <c r="E97" i="5"/>
  <c r="E98" i="5"/>
  <c r="E99" i="5"/>
  <c r="E100" i="5"/>
  <c r="E101" i="5"/>
  <c r="E102" i="5"/>
  <c r="E104" i="5"/>
  <c r="E105" i="5"/>
  <c r="E106" i="5"/>
  <c r="E88" i="5"/>
  <c r="E68" i="5"/>
  <c r="E67" i="5"/>
  <c r="E66" i="5"/>
  <c r="E65" i="5"/>
  <c r="E64" i="5"/>
  <c r="E63" i="5"/>
  <c r="E39" i="5"/>
  <c r="E29" i="5"/>
  <c r="CJ25" i="7"/>
  <c r="CJ24" i="7"/>
  <c r="CJ23" i="7"/>
  <c r="CJ22" i="7"/>
  <c r="CJ21" i="7"/>
  <c r="CJ20" i="7"/>
  <c r="CJ19" i="7"/>
  <c r="CJ18" i="7"/>
  <c r="CJ17" i="7"/>
  <c r="CJ16" i="7"/>
  <c r="CJ15" i="7"/>
  <c r="CJ14" i="7"/>
  <c r="CJ13" i="7"/>
  <c r="CJ12" i="7"/>
  <c r="CJ11" i="7"/>
  <c r="CJ10" i="7"/>
  <c r="CJ9" i="7"/>
  <c r="CK7" i="7"/>
  <c r="AQ25" i="7"/>
  <c r="CL25" i="7" s="1"/>
  <c r="AQ23" i="7"/>
  <c r="CL23" i="7" s="1"/>
  <c r="AQ15" i="7"/>
  <c r="CL15" i="7" s="1"/>
  <c r="CF25" i="7"/>
  <c r="CE25" i="7"/>
  <c r="CD25" i="7"/>
  <c r="CC25" i="7"/>
  <c r="BR25" i="7"/>
  <c r="BQ25" i="7"/>
  <c r="BP25" i="7"/>
  <c r="BO25" i="7"/>
  <c r="BN25" i="7"/>
  <c r="BM25" i="7"/>
  <c r="BL25" i="7"/>
  <c r="BK25" i="7"/>
  <c r="BJ25" i="7"/>
  <c r="BI25" i="7"/>
  <c r="BH25" i="7"/>
  <c r="BG25" i="7"/>
  <c r="BF25" i="7"/>
  <c r="BE25" i="7"/>
  <c r="BD25" i="7"/>
  <c r="BC25" i="7"/>
  <c r="BB25" i="7"/>
  <c r="BA25" i="7"/>
  <c r="AZ25" i="7"/>
  <c r="AY25" i="7"/>
  <c r="AX25" i="7"/>
  <c r="AW25" i="7"/>
  <c r="AV25" i="7"/>
  <c r="CF24" i="7"/>
  <c r="CE24" i="7"/>
  <c r="CD24" i="7"/>
  <c r="CC24" i="7"/>
  <c r="BR24" i="7"/>
  <c r="BQ24" i="7"/>
  <c r="BP24" i="7"/>
  <c r="BO24" i="7"/>
  <c r="BN24" i="7"/>
  <c r="BM24" i="7"/>
  <c r="BL24" i="7"/>
  <c r="BK24" i="7"/>
  <c r="BJ24" i="7"/>
  <c r="BI24" i="7"/>
  <c r="BH24" i="7"/>
  <c r="BG24" i="7"/>
  <c r="BF24" i="7"/>
  <c r="BE24" i="7"/>
  <c r="BD24" i="7"/>
  <c r="BC24" i="7"/>
  <c r="BB24" i="7"/>
  <c r="BA24" i="7"/>
  <c r="AZ24" i="7"/>
  <c r="AY24" i="7"/>
  <c r="AX24" i="7"/>
  <c r="AW24" i="7"/>
  <c r="AV24" i="7"/>
  <c r="CF23" i="7"/>
  <c r="CE23" i="7"/>
  <c r="CD23" i="7"/>
  <c r="CC23" i="7"/>
  <c r="BR23" i="7"/>
  <c r="BQ23" i="7"/>
  <c r="BP23" i="7"/>
  <c r="BO23" i="7"/>
  <c r="BN23" i="7"/>
  <c r="BM23" i="7"/>
  <c r="BL23" i="7"/>
  <c r="BK23" i="7"/>
  <c r="BJ23" i="7"/>
  <c r="BI23" i="7"/>
  <c r="BH23" i="7"/>
  <c r="BG23" i="7"/>
  <c r="BF23" i="7"/>
  <c r="BE23" i="7"/>
  <c r="BD23" i="7"/>
  <c r="BC23" i="7"/>
  <c r="BB23" i="7"/>
  <c r="BA23" i="7"/>
  <c r="AZ23" i="7"/>
  <c r="AY23" i="7"/>
  <c r="AX23" i="7"/>
  <c r="AW23" i="7"/>
  <c r="AV23" i="7"/>
  <c r="CF22" i="7"/>
  <c r="CE22" i="7"/>
  <c r="CD22" i="7"/>
  <c r="CC22" i="7"/>
  <c r="BR22" i="7"/>
  <c r="BQ22" i="7"/>
  <c r="BP22" i="7"/>
  <c r="BO22" i="7"/>
  <c r="BN22" i="7"/>
  <c r="BM22" i="7"/>
  <c r="BL22" i="7"/>
  <c r="BK22" i="7"/>
  <c r="BJ22" i="7"/>
  <c r="BI22" i="7"/>
  <c r="BH22" i="7"/>
  <c r="BG22" i="7"/>
  <c r="BF22" i="7"/>
  <c r="BE22" i="7"/>
  <c r="BD22" i="7"/>
  <c r="BC22" i="7"/>
  <c r="BB22" i="7"/>
  <c r="BA22" i="7"/>
  <c r="AZ22" i="7"/>
  <c r="AY22" i="7"/>
  <c r="AX22" i="7"/>
  <c r="AW22" i="7"/>
  <c r="AV22" i="7"/>
  <c r="CF21" i="7"/>
  <c r="CE21" i="7"/>
  <c r="CD21" i="7"/>
  <c r="CC21" i="7"/>
  <c r="BR21" i="7"/>
  <c r="BQ21" i="7"/>
  <c r="BP21" i="7"/>
  <c r="BO21" i="7"/>
  <c r="BN21" i="7"/>
  <c r="BM21" i="7"/>
  <c r="BL21" i="7"/>
  <c r="BK21" i="7"/>
  <c r="BJ21" i="7"/>
  <c r="BI21" i="7"/>
  <c r="BH21" i="7"/>
  <c r="BG21" i="7"/>
  <c r="BF21" i="7"/>
  <c r="BE21" i="7"/>
  <c r="BD21" i="7"/>
  <c r="BC21" i="7"/>
  <c r="BB21" i="7"/>
  <c r="BA21" i="7"/>
  <c r="AZ21" i="7"/>
  <c r="AY21" i="7"/>
  <c r="AX21" i="7"/>
  <c r="AW21" i="7"/>
  <c r="AV21" i="7"/>
  <c r="CF20" i="7"/>
  <c r="CE20" i="7"/>
  <c r="CD20" i="7"/>
  <c r="CC20" i="7"/>
  <c r="BR20" i="7"/>
  <c r="BQ20" i="7"/>
  <c r="BP20" i="7"/>
  <c r="BO20" i="7"/>
  <c r="BN20" i="7"/>
  <c r="BM20" i="7"/>
  <c r="BL20" i="7"/>
  <c r="BK20" i="7"/>
  <c r="BJ20" i="7"/>
  <c r="BI20" i="7"/>
  <c r="BH20" i="7"/>
  <c r="BG20" i="7"/>
  <c r="BF20" i="7"/>
  <c r="BE20" i="7"/>
  <c r="BD20" i="7"/>
  <c r="BC20" i="7"/>
  <c r="BB20" i="7"/>
  <c r="BA20" i="7"/>
  <c r="AZ20" i="7"/>
  <c r="AY20" i="7"/>
  <c r="AX20" i="7"/>
  <c r="AW20" i="7"/>
  <c r="AV20" i="7"/>
  <c r="CF19" i="7"/>
  <c r="CE19" i="7"/>
  <c r="CD19" i="7"/>
  <c r="CC19" i="7"/>
  <c r="BR19" i="7"/>
  <c r="BQ19" i="7"/>
  <c r="BP19" i="7"/>
  <c r="BO19" i="7"/>
  <c r="BN19" i="7"/>
  <c r="BM19" i="7"/>
  <c r="BL19" i="7"/>
  <c r="BK19" i="7"/>
  <c r="BJ19" i="7"/>
  <c r="BI19" i="7"/>
  <c r="BH19" i="7"/>
  <c r="BG19" i="7"/>
  <c r="BF19" i="7"/>
  <c r="BE19" i="7"/>
  <c r="BD19" i="7"/>
  <c r="BC19" i="7"/>
  <c r="BB19" i="7"/>
  <c r="BA19" i="7"/>
  <c r="AZ19" i="7"/>
  <c r="AY19" i="7"/>
  <c r="AX19" i="7"/>
  <c r="AW19" i="7"/>
  <c r="AV19" i="7"/>
  <c r="CF18" i="7"/>
  <c r="CE18" i="7"/>
  <c r="CD18" i="7"/>
  <c r="CC18" i="7"/>
  <c r="BR18" i="7"/>
  <c r="BQ18" i="7"/>
  <c r="BP18" i="7"/>
  <c r="BO18" i="7"/>
  <c r="BN18" i="7"/>
  <c r="BM18" i="7"/>
  <c r="BL18" i="7"/>
  <c r="BK18" i="7"/>
  <c r="BJ18" i="7"/>
  <c r="BI18" i="7"/>
  <c r="BH18" i="7"/>
  <c r="BG18" i="7"/>
  <c r="BF18" i="7"/>
  <c r="BE18" i="7"/>
  <c r="BD18" i="7"/>
  <c r="BC18" i="7"/>
  <c r="BB18" i="7"/>
  <c r="BA18" i="7"/>
  <c r="AZ18" i="7"/>
  <c r="AY18" i="7"/>
  <c r="AX18" i="7"/>
  <c r="AW18" i="7"/>
  <c r="AV18" i="7"/>
  <c r="CF17" i="7"/>
  <c r="CE17" i="7"/>
  <c r="CD17" i="7"/>
  <c r="CC17" i="7"/>
  <c r="BV17" i="7"/>
  <c r="BR17" i="7"/>
  <c r="BQ17" i="7"/>
  <c r="BP17" i="7"/>
  <c r="BO17" i="7"/>
  <c r="BN17" i="7"/>
  <c r="BM17" i="7"/>
  <c r="BL17" i="7"/>
  <c r="BK17" i="7"/>
  <c r="BJ17" i="7"/>
  <c r="BI17" i="7"/>
  <c r="BH17" i="7"/>
  <c r="BG17" i="7"/>
  <c r="BF17" i="7"/>
  <c r="BE17" i="7"/>
  <c r="BD17" i="7"/>
  <c r="BC17" i="7"/>
  <c r="BB17" i="7"/>
  <c r="BA17" i="7"/>
  <c r="AZ17" i="7"/>
  <c r="AY17" i="7"/>
  <c r="AX17" i="7"/>
  <c r="AW17" i="7"/>
  <c r="AV17" i="7"/>
  <c r="CF16" i="7"/>
  <c r="CE16" i="7"/>
  <c r="CD16" i="7"/>
  <c r="CC16" i="7"/>
  <c r="BR16" i="7"/>
  <c r="BQ16" i="7"/>
  <c r="BP16" i="7"/>
  <c r="BO16" i="7"/>
  <c r="BN16" i="7"/>
  <c r="BM16" i="7"/>
  <c r="BL16" i="7"/>
  <c r="BK16" i="7"/>
  <c r="BJ16" i="7"/>
  <c r="BI16" i="7"/>
  <c r="BH16" i="7"/>
  <c r="BG16" i="7"/>
  <c r="BF16" i="7"/>
  <c r="BE16" i="7"/>
  <c r="BD16" i="7"/>
  <c r="BC16" i="7"/>
  <c r="BB16" i="7"/>
  <c r="BA16" i="7"/>
  <c r="AZ16" i="7"/>
  <c r="AY16" i="7"/>
  <c r="AX16" i="7"/>
  <c r="AW16" i="7"/>
  <c r="AV16" i="7"/>
  <c r="CF15" i="7"/>
  <c r="CE15" i="7"/>
  <c r="CD15" i="7"/>
  <c r="CC15" i="7"/>
  <c r="BR15" i="7"/>
  <c r="BQ15" i="7"/>
  <c r="BP15" i="7"/>
  <c r="BO15" i="7"/>
  <c r="BN15" i="7"/>
  <c r="BM15" i="7"/>
  <c r="BL15" i="7"/>
  <c r="BK15" i="7"/>
  <c r="BJ15" i="7"/>
  <c r="BI15" i="7"/>
  <c r="BH15" i="7"/>
  <c r="BG15" i="7"/>
  <c r="BF15" i="7"/>
  <c r="BE15" i="7"/>
  <c r="BD15" i="7"/>
  <c r="BC15" i="7"/>
  <c r="BB15" i="7"/>
  <c r="BA15" i="7"/>
  <c r="AZ15" i="7"/>
  <c r="AY15" i="7"/>
  <c r="AX15" i="7"/>
  <c r="AW15" i="7"/>
  <c r="AV15" i="7"/>
  <c r="CF14" i="7"/>
  <c r="CE14" i="7"/>
  <c r="CD14" i="7"/>
  <c r="CC14" i="7"/>
  <c r="BZ14" i="7"/>
  <c r="BR14" i="7"/>
  <c r="BQ14" i="7"/>
  <c r="BP14" i="7"/>
  <c r="BO14" i="7"/>
  <c r="BN14" i="7"/>
  <c r="BM14" i="7"/>
  <c r="BL14" i="7"/>
  <c r="BK14" i="7"/>
  <c r="BJ14" i="7"/>
  <c r="BI14" i="7"/>
  <c r="BH14" i="7"/>
  <c r="BG14" i="7"/>
  <c r="BF14" i="7"/>
  <c r="BE14" i="7"/>
  <c r="BD14" i="7"/>
  <c r="BC14" i="7"/>
  <c r="BB14" i="7"/>
  <c r="BA14" i="7"/>
  <c r="AZ14" i="7"/>
  <c r="AY14" i="7"/>
  <c r="AX14" i="7"/>
  <c r="AW14" i="7"/>
  <c r="AV14" i="7"/>
  <c r="CF13" i="7"/>
  <c r="CE13" i="7"/>
  <c r="CD13" i="7"/>
  <c r="CC13" i="7"/>
  <c r="BR13" i="7"/>
  <c r="BQ13" i="7"/>
  <c r="BP13" i="7"/>
  <c r="BO13" i="7"/>
  <c r="BN13" i="7"/>
  <c r="BM13" i="7"/>
  <c r="BL13" i="7"/>
  <c r="BK13" i="7"/>
  <c r="BJ13" i="7"/>
  <c r="BI13" i="7"/>
  <c r="BH13" i="7"/>
  <c r="BG13" i="7"/>
  <c r="BF13" i="7"/>
  <c r="BE13" i="7"/>
  <c r="BD13" i="7"/>
  <c r="BC13" i="7"/>
  <c r="BB13" i="7"/>
  <c r="BA13" i="7"/>
  <c r="AZ13" i="7"/>
  <c r="AY13" i="7"/>
  <c r="AX13" i="7"/>
  <c r="AW13" i="7"/>
  <c r="AV13" i="7"/>
  <c r="CF12" i="7"/>
  <c r="CE12" i="7"/>
  <c r="CD12" i="7"/>
  <c r="CC12" i="7"/>
  <c r="BR12" i="7"/>
  <c r="BQ12" i="7"/>
  <c r="BP12" i="7"/>
  <c r="BO12" i="7"/>
  <c r="BN12" i="7"/>
  <c r="BM12" i="7"/>
  <c r="BL12" i="7"/>
  <c r="BK12" i="7"/>
  <c r="BJ12" i="7"/>
  <c r="BI12" i="7"/>
  <c r="BH12" i="7"/>
  <c r="BG12" i="7"/>
  <c r="BF12" i="7"/>
  <c r="BE12" i="7"/>
  <c r="BD12" i="7"/>
  <c r="BC12" i="7"/>
  <c r="BB12" i="7"/>
  <c r="BA12" i="7"/>
  <c r="AZ12" i="7"/>
  <c r="AY12" i="7"/>
  <c r="AX12" i="7"/>
  <c r="AW12" i="7"/>
  <c r="AV12" i="7"/>
  <c r="CF11" i="7"/>
  <c r="CE11" i="7"/>
  <c r="CD11" i="7"/>
  <c r="CC11" i="7"/>
  <c r="BR11" i="7"/>
  <c r="BQ11" i="7"/>
  <c r="BP11" i="7"/>
  <c r="BO11" i="7"/>
  <c r="BN11" i="7"/>
  <c r="BM11" i="7"/>
  <c r="BL11" i="7"/>
  <c r="BK11" i="7"/>
  <c r="BJ11" i="7"/>
  <c r="BI11" i="7"/>
  <c r="BH11" i="7"/>
  <c r="BG11" i="7"/>
  <c r="BF11" i="7"/>
  <c r="BE11" i="7"/>
  <c r="BD11" i="7"/>
  <c r="BC11" i="7"/>
  <c r="BB11" i="7"/>
  <c r="BA11" i="7"/>
  <c r="AZ11" i="7"/>
  <c r="AY11" i="7"/>
  <c r="AX11" i="7"/>
  <c r="AW11" i="7"/>
  <c r="AV11" i="7"/>
  <c r="CF10" i="7"/>
  <c r="CE10" i="7"/>
  <c r="CD10" i="7"/>
  <c r="CC10" i="7"/>
  <c r="BZ10" i="7"/>
  <c r="BR10" i="7"/>
  <c r="BQ10" i="7"/>
  <c r="BP10" i="7"/>
  <c r="BO10" i="7"/>
  <c r="BN10" i="7"/>
  <c r="BM10" i="7"/>
  <c r="BL10" i="7"/>
  <c r="BK10" i="7"/>
  <c r="BJ10" i="7"/>
  <c r="BI10" i="7"/>
  <c r="BH10" i="7"/>
  <c r="BG10" i="7"/>
  <c r="BF10" i="7"/>
  <c r="BE10" i="7"/>
  <c r="BD10" i="7"/>
  <c r="BC10" i="7"/>
  <c r="BB10" i="7"/>
  <c r="BA10" i="7"/>
  <c r="AZ10" i="7"/>
  <c r="AY10" i="7"/>
  <c r="AX10" i="7"/>
  <c r="AW10" i="7"/>
  <c r="AV10" i="7"/>
  <c r="CF9" i="7"/>
  <c r="CE9" i="7"/>
  <c r="CD9" i="7"/>
  <c r="CC9" i="7"/>
  <c r="BR9" i="7"/>
  <c r="BQ9" i="7"/>
  <c r="BP9" i="7"/>
  <c r="BO9" i="7"/>
  <c r="BN9" i="7"/>
  <c r="BM9" i="7"/>
  <c r="BL9" i="7"/>
  <c r="BK9" i="7"/>
  <c r="BJ9" i="7"/>
  <c r="BI9" i="7"/>
  <c r="BH9" i="7"/>
  <c r="BG9" i="7"/>
  <c r="BF9" i="7"/>
  <c r="BE9" i="7"/>
  <c r="BD9" i="7"/>
  <c r="BC9" i="7"/>
  <c r="BB9" i="7"/>
  <c r="BA9" i="7"/>
  <c r="AZ9" i="7"/>
  <c r="AY9" i="7"/>
  <c r="AX9" i="7"/>
  <c r="AW9" i="7"/>
  <c r="AV9" i="7"/>
  <c r="AP49" i="7"/>
  <c r="AO49" i="7"/>
  <c r="AN49" i="7"/>
  <c r="AM49" i="7"/>
  <c r="AB49" i="7"/>
  <c r="AA49" i="7"/>
  <c r="Z49" i="7"/>
  <c r="Y49" i="7"/>
  <c r="X49" i="7"/>
  <c r="W49" i="7"/>
  <c r="V49" i="7"/>
  <c r="U49" i="7"/>
  <c r="T49" i="7"/>
  <c r="S49" i="7"/>
  <c r="R49" i="7"/>
  <c r="Q49" i="7"/>
  <c r="P49" i="7"/>
  <c r="O49" i="7"/>
  <c r="N49" i="7"/>
  <c r="M49" i="7"/>
  <c r="L49" i="7"/>
  <c r="K49" i="7"/>
  <c r="J49" i="7"/>
  <c r="I49" i="7"/>
  <c r="H49" i="7"/>
  <c r="AP48" i="7"/>
  <c r="AO48" i="7"/>
  <c r="AN48" i="7"/>
  <c r="AM48" i="7"/>
  <c r="AJ48" i="7"/>
  <c r="AB48" i="7"/>
  <c r="AA48" i="7"/>
  <c r="Z48" i="7"/>
  <c r="Y48" i="7"/>
  <c r="X48" i="7"/>
  <c r="W48" i="7"/>
  <c r="V48" i="7"/>
  <c r="U48" i="7"/>
  <c r="T48" i="7"/>
  <c r="S48" i="7"/>
  <c r="R48" i="7"/>
  <c r="Q48" i="7"/>
  <c r="P48" i="7"/>
  <c r="O48" i="7"/>
  <c r="N48" i="7"/>
  <c r="M48" i="7"/>
  <c r="L48" i="7"/>
  <c r="K48" i="7"/>
  <c r="J48" i="7"/>
  <c r="I48" i="7"/>
  <c r="H48" i="7"/>
  <c r="AP47" i="7"/>
  <c r="AO47" i="7"/>
  <c r="AN47" i="7"/>
  <c r="AM47" i="7"/>
  <c r="AE47" i="7"/>
  <c r="AB47" i="7"/>
  <c r="AA47" i="7"/>
  <c r="Z47" i="7"/>
  <c r="Y47" i="7"/>
  <c r="X47" i="7"/>
  <c r="W47" i="7"/>
  <c r="V47" i="7"/>
  <c r="U47" i="7"/>
  <c r="T47" i="7"/>
  <c r="S47" i="7"/>
  <c r="R47" i="7"/>
  <c r="Q47" i="7"/>
  <c r="P47" i="7"/>
  <c r="O47" i="7"/>
  <c r="N47" i="7"/>
  <c r="M47" i="7"/>
  <c r="L47" i="7"/>
  <c r="K47" i="7"/>
  <c r="J47" i="7"/>
  <c r="I47" i="7"/>
  <c r="H47" i="7"/>
  <c r="AP46" i="7"/>
  <c r="AO46" i="7"/>
  <c r="AN46" i="7"/>
  <c r="AM46" i="7"/>
  <c r="AB46" i="7"/>
  <c r="AA46" i="7"/>
  <c r="Z46" i="7"/>
  <c r="Y46" i="7"/>
  <c r="X46" i="7"/>
  <c r="W46" i="7"/>
  <c r="V46" i="7"/>
  <c r="U46" i="7"/>
  <c r="T46" i="7"/>
  <c r="S46" i="7"/>
  <c r="R46" i="7"/>
  <c r="Q46" i="7"/>
  <c r="P46" i="7"/>
  <c r="O46" i="7"/>
  <c r="N46" i="7"/>
  <c r="M46" i="7"/>
  <c r="L46" i="7"/>
  <c r="K46" i="7"/>
  <c r="J46" i="7"/>
  <c r="I46" i="7"/>
  <c r="H46" i="7"/>
  <c r="AP45" i="7"/>
  <c r="AO45" i="7"/>
  <c r="AN45" i="7"/>
  <c r="AM45" i="7"/>
  <c r="AJ45" i="7"/>
  <c r="AB45" i="7"/>
  <c r="AA45" i="7"/>
  <c r="Z45" i="7"/>
  <c r="Y45" i="7"/>
  <c r="X45" i="7"/>
  <c r="W45" i="7"/>
  <c r="V45" i="7"/>
  <c r="U45" i="7"/>
  <c r="T45" i="7"/>
  <c r="S45" i="7"/>
  <c r="R45" i="7"/>
  <c r="Q45" i="7"/>
  <c r="P45" i="7"/>
  <c r="O45" i="7"/>
  <c r="N45" i="7"/>
  <c r="M45" i="7"/>
  <c r="L45" i="7"/>
  <c r="K45" i="7"/>
  <c r="J45" i="7"/>
  <c r="I45" i="7"/>
  <c r="H45" i="7"/>
  <c r="AP44" i="7"/>
  <c r="AO44" i="7"/>
  <c r="AN44" i="7"/>
  <c r="AM44" i="7"/>
  <c r="AB44" i="7"/>
  <c r="AA44" i="7"/>
  <c r="Z44" i="7"/>
  <c r="Y44" i="7"/>
  <c r="X44" i="7"/>
  <c r="W44" i="7"/>
  <c r="V44" i="7"/>
  <c r="U44" i="7"/>
  <c r="T44" i="7"/>
  <c r="S44" i="7"/>
  <c r="R44" i="7"/>
  <c r="Q44" i="7"/>
  <c r="P44" i="7"/>
  <c r="O44" i="7"/>
  <c r="N44" i="7"/>
  <c r="M44" i="7"/>
  <c r="L44" i="7"/>
  <c r="K44" i="7"/>
  <c r="J44" i="7"/>
  <c r="I44" i="7"/>
  <c r="H44" i="7"/>
  <c r="AP43" i="7"/>
  <c r="AO43" i="7"/>
  <c r="AN43" i="7"/>
  <c r="AM43" i="7"/>
  <c r="AJ43" i="7"/>
  <c r="AB43" i="7"/>
  <c r="AA43" i="7"/>
  <c r="Z43" i="7"/>
  <c r="Y43" i="7"/>
  <c r="X43" i="7"/>
  <c r="W43" i="7"/>
  <c r="V43" i="7"/>
  <c r="U43" i="7"/>
  <c r="T43" i="7"/>
  <c r="S43" i="7"/>
  <c r="R43" i="7"/>
  <c r="Q43" i="7"/>
  <c r="P43" i="7"/>
  <c r="O43" i="7"/>
  <c r="N43" i="7"/>
  <c r="M43" i="7"/>
  <c r="L43" i="7"/>
  <c r="K43" i="7"/>
  <c r="J43" i="7"/>
  <c r="I43" i="7"/>
  <c r="H43" i="7"/>
  <c r="AP42" i="7"/>
  <c r="AO42" i="7"/>
  <c r="AN42" i="7"/>
  <c r="AM42" i="7"/>
  <c r="AB42" i="7"/>
  <c r="AA42" i="7"/>
  <c r="Z42" i="7"/>
  <c r="Y42" i="7"/>
  <c r="X42" i="7"/>
  <c r="W42" i="7"/>
  <c r="V42" i="7"/>
  <c r="U42" i="7"/>
  <c r="T42" i="7"/>
  <c r="S42" i="7"/>
  <c r="R42" i="7"/>
  <c r="Q42" i="7"/>
  <c r="P42" i="7"/>
  <c r="O42" i="7"/>
  <c r="N42" i="7"/>
  <c r="M42" i="7"/>
  <c r="L42" i="7"/>
  <c r="K42" i="7"/>
  <c r="J42" i="7"/>
  <c r="I42" i="7"/>
  <c r="H42" i="7"/>
  <c r="AP41" i="7"/>
  <c r="AO41" i="7"/>
  <c r="AN41" i="7"/>
  <c r="AM41" i="7"/>
  <c r="AJ41" i="7"/>
  <c r="AB41" i="7"/>
  <c r="AA41" i="7"/>
  <c r="Z41" i="7"/>
  <c r="Y41" i="7"/>
  <c r="X41" i="7"/>
  <c r="W41" i="7"/>
  <c r="V41" i="7"/>
  <c r="U41" i="7"/>
  <c r="T41" i="7"/>
  <c r="S41" i="7"/>
  <c r="R41" i="7"/>
  <c r="Q41" i="7"/>
  <c r="P41" i="7"/>
  <c r="O41" i="7"/>
  <c r="N41" i="7"/>
  <c r="M41" i="7"/>
  <c r="L41" i="7"/>
  <c r="K41" i="7"/>
  <c r="J41" i="7"/>
  <c r="I41" i="7"/>
  <c r="H41" i="7"/>
  <c r="AP40" i="7"/>
  <c r="AO40" i="7"/>
  <c r="AN40" i="7"/>
  <c r="AM40" i="7"/>
  <c r="AB40" i="7"/>
  <c r="AA40" i="7"/>
  <c r="Z40" i="7"/>
  <c r="Y40" i="7"/>
  <c r="X40" i="7"/>
  <c r="W40" i="7"/>
  <c r="V40" i="7"/>
  <c r="U40" i="7"/>
  <c r="T40" i="7"/>
  <c r="S40" i="7"/>
  <c r="R40" i="7"/>
  <c r="Q40" i="7"/>
  <c r="P40" i="7"/>
  <c r="O40" i="7"/>
  <c r="N40" i="7"/>
  <c r="M40" i="7"/>
  <c r="L40" i="7"/>
  <c r="K40" i="7"/>
  <c r="J40" i="7"/>
  <c r="I40" i="7"/>
  <c r="H40" i="7"/>
  <c r="AP39" i="7"/>
  <c r="AO39" i="7"/>
  <c r="AN39" i="7"/>
  <c r="AM39" i="7"/>
  <c r="AJ39" i="7"/>
  <c r="AB39" i="7"/>
  <c r="AA39" i="7"/>
  <c r="Z39" i="7"/>
  <c r="Y39" i="7"/>
  <c r="X39" i="7"/>
  <c r="W39" i="7"/>
  <c r="V39" i="7"/>
  <c r="U39" i="7"/>
  <c r="T39" i="7"/>
  <c r="S39" i="7"/>
  <c r="R39" i="7"/>
  <c r="Q39" i="7"/>
  <c r="P39" i="7"/>
  <c r="O39" i="7"/>
  <c r="N39" i="7"/>
  <c r="M39" i="7"/>
  <c r="L39" i="7"/>
  <c r="K39" i="7"/>
  <c r="J39" i="7"/>
  <c r="I39" i="7"/>
  <c r="H39" i="7"/>
  <c r="AP38" i="7"/>
  <c r="AO38" i="7"/>
  <c r="AN38" i="7"/>
  <c r="AM38" i="7"/>
  <c r="AE38" i="7"/>
  <c r="AB38" i="7"/>
  <c r="AA38" i="7"/>
  <c r="Z38" i="7"/>
  <c r="Y38" i="7"/>
  <c r="X38" i="7"/>
  <c r="W38" i="7"/>
  <c r="V38" i="7"/>
  <c r="U38" i="7"/>
  <c r="T38" i="7"/>
  <c r="S38" i="7"/>
  <c r="R38" i="7"/>
  <c r="Q38" i="7"/>
  <c r="P38" i="7"/>
  <c r="O38" i="7"/>
  <c r="N38" i="7"/>
  <c r="M38" i="7"/>
  <c r="L38" i="7"/>
  <c r="K38" i="7"/>
  <c r="J38" i="7"/>
  <c r="I38" i="7"/>
  <c r="H38" i="7"/>
  <c r="AP37" i="7"/>
  <c r="AO37" i="7"/>
  <c r="AN37" i="7"/>
  <c r="AM37" i="7"/>
  <c r="AB37" i="7"/>
  <c r="AA37" i="7"/>
  <c r="Z37" i="7"/>
  <c r="Y37" i="7"/>
  <c r="X37" i="7"/>
  <c r="W37" i="7"/>
  <c r="V37" i="7"/>
  <c r="U37" i="7"/>
  <c r="T37" i="7"/>
  <c r="S37" i="7"/>
  <c r="R37" i="7"/>
  <c r="Q37" i="7"/>
  <c r="P37" i="7"/>
  <c r="O37" i="7"/>
  <c r="N37" i="7"/>
  <c r="M37" i="7"/>
  <c r="L37" i="7"/>
  <c r="K37" i="7"/>
  <c r="J37" i="7"/>
  <c r="I37" i="7"/>
  <c r="H37" i="7"/>
  <c r="AP36" i="7"/>
  <c r="AO36" i="7"/>
  <c r="AN36" i="7"/>
  <c r="AM36" i="7"/>
  <c r="AB36" i="7"/>
  <c r="AA36" i="7"/>
  <c r="Z36" i="7"/>
  <c r="Y36" i="7"/>
  <c r="X36" i="7"/>
  <c r="W36" i="7"/>
  <c r="V36" i="7"/>
  <c r="U36" i="7"/>
  <c r="T36" i="7"/>
  <c r="S36" i="7"/>
  <c r="R36" i="7"/>
  <c r="Q36" i="7"/>
  <c r="P36" i="7"/>
  <c r="O36" i="7"/>
  <c r="N36" i="7"/>
  <c r="M36" i="7"/>
  <c r="L36" i="7"/>
  <c r="K36" i="7"/>
  <c r="J36" i="7"/>
  <c r="I36" i="7"/>
  <c r="H36" i="7"/>
  <c r="AP35" i="7"/>
  <c r="AO35" i="7"/>
  <c r="AN35" i="7"/>
  <c r="AM35" i="7"/>
  <c r="AB35" i="7"/>
  <c r="AA35" i="7"/>
  <c r="Z35" i="7"/>
  <c r="Y35" i="7"/>
  <c r="X35" i="7"/>
  <c r="W35" i="7"/>
  <c r="V35" i="7"/>
  <c r="U35" i="7"/>
  <c r="T35" i="7"/>
  <c r="S35" i="7"/>
  <c r="R35" i="7"/>
  <c r="Q35" i="7"/>
  <c r="P35" i="7"/>
  <c r="O35" i="7"/>
  <c r="N35" i="7"/>
  <c r="M35" i="7"/>
  <c r="L35" i="7"/>
  <c r="K35" i="7"/>
  <c r="J35" i="7"/>
  <c r="I35" i="7"/>
  <c r="H35" i="7"/>
  <c r="AP34" i="7"/>
  <c r="AO34" i="7"/>
  <c r="AN34" i="7"/>
  <c r="AM34" i="7"/>
  <c r="AI34" i="7"/>
  <c r="AB34" i="7"/>
  <c r="AA34" i="7"/>
  <c r="Z34" i="7"/>
  <c r="Y34" i="7"/>
  <c r="X34" i="7"/>
  <c r="W34" i="7"/>
  <c r="V34" i="7"/>
  <c r="U34" i="7"/>
  <c r="T34" i="7"/>
  <c r="S34" i="7"/>
  <c r="R34" i="7"/>
  <c r="Q34" i="7"/>
  <c r="P34" i="7"/>
  <c r="O34" i="7"/>
  <c r="N34" i="7"/>
  <c r="M34" i="7"/>
  <c r="L34" i="7"/>
  <c r="K34" i="7"/>
  <c r="J34" i="7"/>
  <c r="I34" i="7"/>
  <c r="H34" i="7"/>
  <c r="AP33" i="7"/>
  <c r="AO33" i="7"/>
  <c r="AN33" i="7"/>
  <c r="AM33" i="7"/>
  <c r="AH33" i="7"/>
  <c r="AG33" i="7"/>
  <c r="AB33" i="7"/>
  <c r="AA33" i="7"/>
  <c r="Z33" i="7"/>
  <c r="Y33" i="7"/>
  <c r="X33" i="7"/>
  <c r="W33" i="7"/>
  <c r="V33" i="7"/>
  <c r="U33" i="7"/>
  <c r="T33" i="7"/>
  <c r="S33" i="7"/>
  <c r="R33" i="7"/>
  <c r="Q33" i="7"/>
  <c r="P33" i="7"/>
  <c r="O33" i="7"/>
  <c r="N33" i="7"/>
  <c r="M33" i="7"/>
  <c r="L33" i="7"/>
  <c r="K33" i="7"/>
  <c r="J33" i="7"/>
  <c r="I33" i="7"/>
  <c r="H33" i="7"/>
  <c r="G49" i="7"/>
  <c r="G48" i="7"/>
  <c r="G47" i="7"/>
  <c r="G46" i="7"/>
  <c r="G45" i="7"/>
  <c r="G44" i="7"/>
  <c r="G43" i="7"/>
  <c r="G42" i="7"/>
  <c r="G41" i="7"/>
  <c r="G40" i="7"/>
  <c r="G39" i="7"/>
  <c r="G38" i="7"/>
  <c r="G37" i="7"/>
  <c r="G36" i="7"/>
  <c r="G35" i="7"/>
  <c r="G34" i="7"/>
  <c r="G33" i="7"/>
  <c r="F49" i="7"/>
  <c r="F48" i="7"/>
  <c r="F47" i="7"/>
  <c r="F46" i="7"/>
  <c r="F45" i="7"/>
  <c r="F44" i="7"/>
  <c r="F43" i="7"/>
  <c r="F42" i="7"/>
  <c r="F41" i="7"/>
  <c r="F40" i="7"/>
  <c r="F39" i="7"/>
  <c r="F38" i="7"/>
  <c r="F37" i="7"/>
  <c r="F36" i="7"/>
  <c r="F35" i="7"/>
  <c r="F34" i="7"/>
  <c r="F33" i="7"/>
  <c r="AP31" i="7"/>
  <c r="AO31" i="7"/>
  <c r="AN31" i="7"/>
  <c r="AM31" i="7"/>
  <c r="AF31" i="7"/>
  <c r="AE31" i="7"/>
  <c r="AB31" i="7"/>
  <c r="AA31" i="7"/>
  <c r="Z31" i="7"/>
  <c r="Y31" i="7"/>
  <c r="X31" i="7"/>
  <c r="W31" i="7"/>
  <c r="V31" i="7"/>
  <c r="U31" i="7"/>
  <c r="T31" i="7"/>
  <c r="S31" i="7"/>
  <c r="R31" i="7"/>
  <c r="Q31" i="7"/>
  <c r="P31" i="7"/>
  <c r="O31" i="7"/>
  <c r="N31" i="7"/>
  <c r="M31" i="7"/>
  <c r="L31" i="7"/>
  <c r="K31" i="7"/>
  <c r="J31" i="7"/>
  <c r="I31" i="7"/>
  <c r="H31" i="7"/>
  <c r="G31" i="7"/>
  <c r="F31" i="7"/>
  <c r="AP30" i="7"/>
  <c r="AO30" i="7"/>
  <c r="AN30" i="7"/>
  <c r="AM30" i="7"/>
  <c r="AB30" i="7"/>
  <c r="AA30" i="7"/>
  <c r="Z30" i="7"/>
  <c r="Y30" i="7"/>
  <c r="X30" i="7"/>
  <c r="W30" i="7"/>
  <c r="V30" i="7"/>
  <c r="U30" i="7"/>
  <c r="T30" i="7"/>
  <c r="S30" i="7"/>
  <c r="R30" i="7"/>
  <c r="Q30" i="7"/>
  <c r="P30" i="7"/>
  <c r="O30" i="7"/>
  <c r="N30" i="7"/>
  <c r="M30" i="7"/>
  <c r="L30" i="7"/>
  <c r="K30" i="7"/>
  <c r="J30" i="7"/>
  <c r="I30" i="7"/>
  <c r="H30" i="7"/>
  <c r="G30" i="7"/>
  <c r="F30" i="7"/>
  <c r="AP29" i="7"/>
  <c r="AO29" i="7"/>
  <c r="AN29" i="7"/>
  <c r="AM29" i="7"/>
  <c r="AL29" i="7"/>
  <c r="AJ29" i="7"/>
  <c r="AB29" i="7"/>
  <c r="AA29" i="7"/>
  <c r="Z29" i="7"/>
  <c r="Y29" i="7"/>
  <c r="X29" i="7"/>
  <c r="W29" i="7"/>
  <c r="V29" i="7"/>
  <c r="U29" i="7"/>
  <c r="T29" i="7"/>
  <c r="S29" i="7"/>
  <c r="R29" i="7"/>
  <c r="Q29" i="7"/>
  <c r="P29" i="7"/>
  <c r="O29" i="7"/>
  <c r="N29" i="7"/>
  <c r="M29" i="7"/>
  <c r="L29" i="7"/>
  <c r="K29" i="7"/>
  <c r="J29" i="7"/>
  <c r="I29" i="7"/>
  <c r="H29" i="7"/>
  <c r="G29" i="7"/>
  <c r="F29" i="7"/>
  <c r="AP28" i="7"/>
  <c r="AO28" i="7"/>
  <c r="AN28" i="7"/>
  <c r="AM28" i="7"/>
  <c r="AB28" i="7"/>
  <c r="AA28" i="7"/>
  <c r="Z28" i="7"/>
  <c r="Y28" i="7"/>
  <c r="X28" i="7"/>
  <c r="W28" i="7"/>
  <c r="V28" i="7"/>
  <c r="U28" i="7"/>
  <c r="T28" i="7"/>
  <c r="S28" i="7"/>
  <c r="R28" i="7"/>
  <c r="Q28" i="7"/>
  <c r="P28" i="7"/>
  <c r="O28" i="7"/>
  <c r="N28" i="7"/>
  <c r="M28" i="7"/>
  <c r="L28" i="7"/>
  <c r="K28" i="7"/>
  <c r="J28" i="7"/>
  <c r="I28" i="7"/>
  <c r="H28" i="7"/>
  <c r="G28" i="7"/>
  <c r="F28" i="7"/>
  <c r="AQ17" i="7"/>
  <c r="CL17" i="7" s="1"/>
  <c r="AP27" i="7"/>
  <c r="AO27" i="7"/>
  <c r="AN27" i="7"/>
  <c r="AM27" i="7"/>
  <c r="AG27" i="7"/>
  <c r="AB27" i="7"/>
  <c r="AA27" i="7"/>
  <c r="Z27" i="7"/>
  <c r="Y27" i="7"/>
  <c r="X27" i="7"/>
  <c r="W27" i="7"/>
  <c r="V27" i="7"/>
  <c r="U27" i="7"/>
  <c r="T27" i="7"/>
  <c r="S27" i="7"/>
  <c r="R27" i="7"/>
  <c r="Q27" i="7"/>
  <c r="P27" i="7"/>
  <c r="O27" i="7"/>
  <c r="N27" i="7"/>
  <c r="M27" i="7"/>
  <c r="L27" i="7"/>
  <c r="K27" i="7"/>
  <c r="J27" i="7"/>
  <c r="I27" i="7"/>
  <c r="H27" i="7"/>
  <c r="G27" i="7"/>
  <c r="F27" i="7"/>
  <c r="E157" i="5"/>
  <c r="E156" i="5"/>
  <c r="E155" i="5"/>
  <c r="E154" i="5"/>
  <c r="E153" i="5"/>
  <c r="E152" i="5"/>
  <c r="E151" i="5"/>
  <c r="E150" i="5"/>
  <c r="E149" i="5"/>
  <c r="E148" i="5"/>
  <c r="E147" i="5"/>
  <c r="E146" i="5"/>
  <c r="E145" i="5"/>
  <c r="E144" i="5"/>
  <c r="E143" i="5"/>
  <c r="E142" i="5"/>
  <c r="E141" i="5"/>
  <c r="E140" i="5"/>
  <c r="E139" i="5"/>
  <c r="E138" i="5"/>
  <c r="E137" i="5"/>
  <c r="E136" i="5"/>
  <c r="E135" i="5"/>
  <c r="E134" i="5"/>
  <c r="E133" i="5"/>
  <c r="E132" i="5"/>
  <c r="E131" i="5"/>
  <c r="E130" i="5"/>
  <c r="E129" i="5"/>
  <c r="E128" i="5"/>
  <c r="E127" i="5"/>
  <c r="E126" i="5"/>
  <c r="E125" i="5"/>
  <c r="E124" i="5"/>
  <c r="E123" i="5"/>
  <c r="E122" i="5"/>
  <c r="E121" i="5"/>
  <c r="E120" i="5"/>
  <c r="E118" i="5"/>
  <c r="E117" i="5"/>
  <c r="E116" i="5"/>
  <c r="E115" i="5"/>
  <c r="E114" i="5"/>
  <c r="E113" i="5"/>
  <c r="E112" i="5"/>
  <c r="E111" i="5"/>
  <c r="E110" i="5"/>
  <c r="E109" i="5"/>
  <c r="E108" i="5"/>
  <c r="E107" i="5"/>
  <c r="E90" i="5"/>
  <c r="E89" i="5"/>
  <c r="E87" i="5"/>
  <c r="E86" i="5"/>
  <c r="E85" i="5"/>
  <c r="E84" i="5"/>
  <c r="E83" i="5"/>
  <c r="E82" i="5"/>
  <c r="E81" i="5"/>
  <c r="E80" i="5"/>
  <c r="E79" i="5"/>
  <c r="E78" i="5"/>
  <c r="E77" i="5"/>
  <c r="E76" i="5"/>
  <c r="E75" i="5"/>
  <c r="E74" i="5"/>
  <c r="E73" i="5"/>
  <c r="E72" i="5"/>
  <c r="E71" i="5"/>
  <c r="E70" i="5"/>
  <c r="E69" i="5"/>
  <c r="E62" i="5"/>
  <c r="E61" i="5"/>
  <c r="E60" i="5"/>
  <c r="E59" i="5"/>
  <c r="E58" i="5"/>
  <c r="E57" i="5"/>
  <c r="E56" i="5"/>
  <c r="E55" i="5"/>
  <c r="E54" i="5"/>
  <c r="E53" i="5"/>
  <c r="E52" i="5"/>
  <c r="E51" i="5"/>
  <c r="E50" i="5"/>
  <c r="E49" i="5"/>
  <c r="E48" i="5"/>
  <c r="E47" i="5"/>
  <c r="E46" i="5"/>
  <c r="E45" i="5"/>
  <c r="E44" i="5"/>
  <c r="E43" i="5"/>
  <c r="E42" i="5"/>
  <c r="E41" i="5"/>
  <c r="E40" i="5"/>
  <c r="E38" i="5"/>
  <c r="E37" i="5"/>
  <c r="E36" i="5"/>
  <c r="E35" i="5"/>
  <c r="E34" i="5"/>
  <c r="E33" i="5"/>
  <c r="E32" i="5"/>
  <c r="E31" i="5"/>
  <c r="E30" i="5"/>
  <c r="E28" i="5"/>
  <c r="E27" i="5"/>
  <c r="E26" i="5"/>
  <c r="E25" i="5"/>
  <c r="E24" i="5"/>
  <c r="E23" i="5"/>
  <c r="E22" i="5"/>
  <c r="E21" i="5"/>
  <c r="E20" i="5"/>
  <c r="E19" i="5"/>
  <c r="E18" i="5"/>
  <c r="E17" i="5"/>
  <c r="E16" i="5"/>
  <c r="E15" i="5"/>
  <c r="E14" i="5"/>
  <c r="E13" i="5"/>
  <c r="E12" i="5"/>
  <c r="E11" i="5"/>
  <c r="E10" i="5"/>
  <c r="E9" i="5"/>
  <c r="F26" i="3"/>
  <c r="G17" i="3" l="1"/>
  <c r="G20" i="3"/>
  <c r="AL38" i="7"/>
  <c r="CB9" i="7"/>
  <c r="CB11" i="7"/>
  <c r="CB24" i="7"/>
  <c r="AL31" i="7"/>
  <c r="AL34" i="7"/>
  <c r="AL47" i="7"/>
  <c r="CB22" i="7"/>
  <c r="AL28" i="7"/>
  <c r="CB20" i="7"/>
  <c r="AL30" i="7"/>
  <c r="AL35" i="7"/>
  <c r="AL44" i="7"/>
  <c r="CB16" i="7"/>
  <c r="CB14" i="7"/>
  <c r="CB13" i="7"/>
  <c r="AL27" i="7"/>
  <c r="CB12" i="7"/>
  <c r="AL42" i="7"/>
  <c r="AL45" i="7"/>
  <c r="AL48" i="7"/>
  <c r="CB15" i="7"/>
  <c r="AL36" i="7"/>
  <c r="AL39" i="7"/>
  <c r="CB17" i="7"/>
  <c r="CB19" i="7"/>
  <c r="CB21" i="7"/>
  <c r="CB23" i="7"/>
  <c r="CB25" i="7"/>
  <c r="AL33" i="7"/>
  <c r="AL46" i="7"/>
  <c r="AL49" i="7"/>
  <c r="AL37" i="7"/>
  <c r="AL40" i="7"/>
  <c r="AL43" i="7"/>
  <c r="CB10" i="7"/>
  <c r="AK44" i="7"/>
  <c r="CA18" i="7"/>
  <c r="AK35" i="7"/>
  <c r="AK45" i="7"/>
  <c r="AK42" i="7"/>
  <c r="AK28" i="7"/>
  <c r="AK33" i="7"/>
  <c r="AK40" i="7"/>
  <c r="AK49" i="7"/>
  <c r="CA11" i="7"/>
  <c r="CA14" i="7"/>
  <c r="CA17" i="7"/>
  <c r="CA24" i="7"/>
  <c r="AK27" i="7"/>
  <c r="AK31" i="7"/>
  <c r="AK38" i="7"/>
  <c r="AK47" i="7"/>
  <c r="CA13" i="7"/>
  <c r="CA16" i="7"/>
  <c r="CA19" i="7"/>
  <c r="AK43" i="7"/>
  <c r="CA10" i="7"/>
  <c r="CA21" i="7"/>
  <c r="AK36" i="7"/>
  <c r="AK34" i="7"/>
  <c r="AK41" i="7"/>
  <c r="AK29" i="7"/>
  <c r="AK37" i="7"/>
  <c r="AK39" i="7"/>
  <c r="AK46" i="7"/>
  <c r="AK48" i="7"/>
  <c r="CA9" i="7"/>
  <c r="CA12" i="7"/>
  <c r="CA15" i="7"/>
  <c r="CA22" i="7"/>
  <c r="CA23" i="7"/>
  <c r="CA20" i="7"/>
  <c r="CA25" i="7"/>
  <c r="H24" i="4"/>
  <c r="O21" i="10"/>
  <c r="E26" i="3"/>
  <c r="G9" i="3"/>
  <c r="O15" i="10"/>
  <c r="AJ30" i="7"/>
  <c r="AJ31" i="7"/>
  <c r="AJ33" i="7"/>
  <c r="BZ22" i="7"/>
  <c r="AJ35" i="7"/>
  <c r="AJ37" i="7"/>
  <c r="BZ9" i="7"/>
  <c r="BZ13" i="7"/>
  <c r="AJ47" i="7"/>
  <c r="AJ49" i="7"/>
  <c r="BZ12" i="7"/>
  <c r="BZ16" i="7"/>
  <c r="BZ21" i="7"/>
  <c r="BZ25" i="7"/>
  <c r="AJ28" i="7"/>
  <c r="BZ20" i="7"/>
  <c r="BZ24" i="7"/>
  <c r="AJ27" i="7"/>
  <c r="AJ34" i="7"/>
  <c r="AJ36" i="7"/>
  <c r="BZ11" i="7"/>
  <c r="BZ15" i="7"/>
  <c r="AJ38" i="7"/>
  <c r="AJ40" i="7"/>
  <c r="AJ42" i="7"/>
  <c r="AJ44" i="7"/>
  <c r="AJ46" i="7"/>
  <c r="BZ19" i="7"/>
  <c r="AI30" i="7"/>
  <c r="AI42" i="7"/>
  <c r="BY12" i="7"/>
  <c r="BY22" i="7"/>
  <c r="BY13" i="7"/>
  <c r="AI29" i="7"/>
  <c r="AI31" i="7"/>
  <c r="BY21" i="7"/>
  <c r="AI28" i="7"/>
  <c r="AI27" i="7"/>
  <c r="AI48" i="7"/>
  <c r="BY23" i="7"/>
  <c r="AI36" i="7"/>
  <c r="AI39" i="7"/>
  <c r="BY11" i="7"/>
  <c r="BY20" i="7"/>
  <c r="AI33" i="7"/>
  <c r="AI44" i="7"/>
  <c r="AI47" i="7"/>
  <c r="BY10" i="7"/>
  <c r="BY19" i="7"/>
  <c r="AI41" i="7"/>
  <c r="BY9" i="7"/>
  <c r="BY18" i="7"/>
  <c r="AI35" i="7"/>
  <c r="AI38" i="7"/>
  <c r="AI46" i="7"/>
  <c r="AI49" i="7"/>
  <c r="BY16" i="7"/>
  <c r="BY17" i="7"/>
  <c r="BY25" i="7"/>
  <c r="AI43" i="7"/>
  <c r="BY15" i="7"/>
  <c r="BY24" i="7"/>
  <c r="AI37" i="7"/>
  <c r="AI40" i="7"/>
  <c r="BY14" i="7"/>
  <c r="AH31" i="7"/>
  <c r="AH38" i="7"/>
  <c r="AH42" i="7"/>
  <c r="AH46" i="7"/>
  <c r="AH41" i="7"/>
  <c r="AH45" i="7"/>
  <c r="AH36" i="7"/>
  <c r="AH49" i="7"/>
  <c r="AH40" i="7"/>
  <c r="AH44" i="7"/>
  <c r="AH27" i="7"/>
  <c r="AH35" i="7"/>
  <c r="AH48" i="7"/>
  <c r="AQ11" i="7"/>
  <c r="CL11" i="7" s="1"/>
  <c r="AH37" i="7"/>
  <c r="AH28" i="7"/>
  <c r="AH29" i="7"/>
  <c r="AH30" i="7"/>
  <c r="AH39" i="7"/>
  <c r="AH43" i="7"/>
  <c r="AH34" i="7"/>
  <c r="BX25" i="7"/>
  <c r="BX9" i="7"/>
  <c r="BX10" i="7"/>
  <c r="BX11" i="7"/>
  <c r="BX12" i="7"/>
  <c r="BX13" i="7"/>
  <c r="BX14" i="7"/>
  <c r="BX15" i="7"/>
  <c r="BX16" i="7"/>
  <c r="BX17" i="7"/>
  <c r="BX18" i="7"/>
  <c r="BX19" i="7"/>
  <c r="BX20" i="7"/>
  <c r="BX21" i="7"/>
  <c r="BX22" i="7"/>
  <c r="BX23" i="7"/>
  <c r="BX24" i="7"/>
  <c r="AG28" i="7"/>
  <c r="AG40" i="7"/>
  <c r="BW22" i="7"/>
  <c r="AG42" i="7"/>
  <c r="AG29" i="7"/>
  <c r="AG39" i="7"/>
  <c r="BW23" i="7"/>
  <c r="AG30" i="7"/>
  <c r="AG37" i="7"/>
  <c r="AG38" i="7"/>
  <c r="AG49" i="7"/>
  <c r="AG41" i="7"/>
  <c r="AG36" i="7"/>
  <c r="BW14" i="7"/>
  <c r="BW21" i="7"/>
  <c r="AG35" i="7"/>
  <c r="BW15" i="7"/>
  <c r="AG31" i="7"/>
  <c r="AG34" i="7"/>
  <c r="BW20" i="7"/>
  <c r="AG48" i="7"/>
  <c r="BW9" i="7"/>
  <c r="BW24" i="7"/>
  <c r="AG46" i="7"/>
  <c r="AG47" i="7"/>
  <c r="BW10" i="7"/>
  <c r="BW17" i="7"/>
  <c r="BW25" i="7"/>
  <c r="AG45" i="7"/>
  <c r="BW11" i="7"/>
  <c r="BW18" i="7"/>
  <c r="AG44" i="7"/>
  <c r="BW12" i="7"/>
  <c r="BW19" i="7"/>
  <c r="AG43" i="7"/>
  <c r="BW13" i="7"/>
  <c r="BV13" i="7"/>
  <c r="AF28" i="7"/>
  <c r="AF33" i="7"/>
  <c r="AF34" i="7"/>
  <c r="AF35" i="7"/>
  <c r="AF36" i="7"/>
  <c r="AF37" i="7"/>
  <c r="BV9" i="7"/>
  <c r="BV23" i="7"/>
  <c r="AF29" i="7"/>
  <c r="BV10" i="7"/>
  <c r="BV19" i="7"/>
  <c r="BV15" i="7"/>
  <c r="AQ21" i="7"/>
  <c r="CL21" i="7" s="1"/>
  <c r="BV14" i="7"/>
  <c r="BV11" i="7"/>
  <c r="BV22" i="7"/>
  <c r="AF38" i="7"/>
  <c r="AF39" i="7"/>
  <c r="AF40" i="7"/>
  <c r="AF41" i="7"/>
  <c r="AF42" i="7"/>
  <c r="AF43" i="7"/>
  <c r="AF44" i="7"/>
  <c r="AF45" i="7"/>
  <c r="AF46" i="7"/>
  <c r="AF47" i="7"/>
  <c r="AF48" i="7"/>
  <c r="AF49" i="7"/>
  <c r="BV12" i="7"/>
  <c r="BV16" i="7"/>
  <c r="BV20" i="7"/>
  <c r="BV24" i="7"/>
  <c r="AF30" i="7"/>
  <c r="BV25" i="7"/>
  <c r="AE39" i="7"/>
  <c r="AE27" i="7"/>
  <c r="AE29" i="7"/>
  <c r="AE40" i="7"/>
  <c r="BU12" i="7"/>
  <c r="BU20" i="7"/>
  <c r="AE30" i="7"/>
  <c r="AE35" i="7"/>
  <c r="AE43" i="7"/>
  <c r="BU10" i="7"/>
  <c r="AE33" i="7"/>
  <c r="AE41" i="7"/>
  <c r="AE36" i="7"/>
  <c r="AE44" i="7"/>
  <c r="AE34" i="7"/>
  <c r="AE42" i="7"/>
  <c r="AE28" i="7"/>
  <c r="AE37" i="7"/>
  <c r="BU25" i="7"/>
  <c r="AE46" i="7"/>
  <c r="BU15" i="7"/>
  <c r="BU23" i="7"/>
  <c r="AE48" i="7"/>
  <c r="BU13" i="7"/>
  <c r="BU21" i="7"/>
  <c r="AE49" i="7"/>
  <c r="BU16" i="7"/>
  <c r="BU24" i="7"/>
  <c r="BU11" i="7"/>
  <c r="BU19" i="7"/>
  <c r="BU14" i="7"/>
  <c r="BU22" i="7"/>
  <c r="BU9" i="7"/>
  <c r="BU17" i="7"/>
  <c r="AD30" i="7"/>
  <c r="AD33" i="7"/>
  <c r="AD28" i="7"/>
  <c r="AD27" i="7"/>
  <c r="AD29" i="7"/>
  <c r="BT25" i="7"/>
  <c r="AD36" i="7"/>
  <c r="AD40" i="7"/>
  <c r="AD44" i="7"/>
  <c r="AD48" i="7"/>
  <c r="AD37" i="7"/>
  <c r="AD41" i="7"/>
  <c r="AD45" i="7"/>
  <c r="AD49" i="7"/>
  <c r="BT10" i="7"/>
  <c r="BT12" i="7"/>
  <c r="BT14" i="7"/>
  <c r="BT16" i="7"/>
  <c r="BT18" i="7"/>
  <c r="BT20" i="7"/>
  <c r="BT22" i="7"/>
  <c r="BT24" i="7"/>
  <c r="AD34" i="7"/>
  <c r="AD38" i="7"/>
  <c r="AD42" i="7"/>
  <c r="AD46" i="7"/>
  <c r="AD35" i="7"/>
  <c r="AD39" i="7"/>
  <c r="AD43" i="7"/>
  <c r="AD47" i="7"/>
  <c r="BT9" i="7"/>
  <c r="BT11" i="7"/>
  <c r="BT13" i="7"/>
  <c r="BT15" i="7"/>
  <c r="BT17" i="7"/>
  <c r="BT19" i="7"/>
  <c r="BT21" i="7"/>
  <c r="BT23" i="7"/>
  <c r="BS22" i="7"/>
  <c r="BS12" i="7"/>
  <c r="AC46" i="7"/>
  <c r="AC28" i="7"/>
  <c r="AC27" i="7"/>
  <c r="AC37" i="7"/>
  <c r="AC40" i="7"/>
  <c r="AC45" i="7"/>
  <c r="AC38" i="7"/>
  <c r="AC48" i="7"/>
  <c r="BS9" i="7"/>
  <c r="BS11" i="7"/>
  <c r="BS17" i="7"/>
  <c r="BS19" i="7"/>
  <c r="AC33" i="7"/>
  <c r="AC41" i="7"/>
  <c r="AC49" i="7"/>
  <c r="BS16" i="7"/>
  <c r="BS24" i="7"/>
  <c r="AC29" i="7"/>
  <c r="AC36" i="7"/>
  <c r="AC44" i="7"/>
  <c r="BS13" i="7"/>
  <c r="BS21" i="7"/>
  <c r="AQ9" i="7"/>
  <c r="CL9" i="7" s="1"/>
  <c r="AC39" i="7"/>
  <c r="AC47" i="7"/>
  <c r="BS10" i="7"/>
  <c r="BS18" i="7"/>
  <c r="AC31" i="7"/>
  <c r="AC34" i="7"/>
  <c r="AC42" i="7"/>
  <c r="BS15" i="7"/>
  <c r="BS23" i="7"/>
  <c r="BS20" i="7"/>
  <c r="BS25" i="7"/>
  <c r="AC30" i="7"/>
  <c r="AC35" i="7"/>
  <c r="AC43" i="7"/>
  <c r="BS14" i="7"/>
  <c r="I25" i="3"/>
  <c r="I19" i="3"/>
  <c r="I12" i="3"/>
  <c r="I20" i="3"/>
  <c r="I11" i="3"/>
  <c r="I13" i="3"/>
  <c r="I21" i="3"/>
  <c r="I10" i="3"/>
  <c r="I14" i="3"/>
  <c r="I22" i="3"/>
  <c r="I15" i="3"/>
  <c r="I23" i="3"/>
  <c r="I16" i="3"/>
  <c r="I24" i="3"/>
  <c r="I18" i="3"/>
  <c r="I9" i="3"/>
  <c r="I17" i="3"/>
  <c r="AU17" i="7"/>
  <c r="CK17" i="7" s="1"/>
  <c r="E30" i="7"/>
  <c r="AU23" i="7"/>
  <c r="CK23" i="7" s="1"/>
  <c r="E27" i="7"/>
  <c r="E36" i="7"/>
  <c r="E38" i="7"/>
  <c r="E44" i="7"/>
  <c r="E46" i="7"/>
  <c r="E39" i="7"/>
  <c r="E47" i="7"/>
  <c r="AU25" i="7"/>
  <c r="CK25" i="7" s="1"/>
  <c r="E40" i="7"/>
  <c r="E48" i="7"/>
  <c r="E33" i="7"/>
  <c r="E41" i="7"/>
  <c r="E49" i="7"/>
  <c r="E42" i="7"/>
  <c r="E28" i="7"/>
  <c r="E34" i="7"/>
  <c r="E29" i="7"/>
  <c r="E35" i="7"/>
  <c r="E43" i="7"/>
  <c r="AU9" i="7"/>
  <c r="CK9" i="7" s="1"/>
  <c r="AU15" i="7"/>
  <c r="CK15" i="7" s="1"/>
  <c r="E31" i="7"/>
  <c r="E37" i="7"/>
  <c r="E45" i="7"/>
  <c r="AU22" i="7"/>
  <c r="CK22" i="7" s="1"/>
  <c r="AU16" i="7"/>
  <c r="CK16" i="7" s="1"/>
  <c r="AU24" i="7"/>
  <c r="CK24" i="7" s="1"/>
  <c r="AU10" i="7"/>
  <c r="CK10" i="7" s="1"/>
  <c r="AU18" i="7"/>
  <c r="CK18" i="7" s="1"/>
  <c r="AU11" i="7"/>
  <c r="CK11" i="7" s="1"/>
  <c r="AU19" i="7"/>
  <c r="CK19" i="7" s="1"/>
  <c r="AU12" i="7"/>
  <c r="CK12" i="7" s="1"/>
  <c r="AU20" i="7"/>
  <c r="CK20" i="7" s="1"/>
  <c r="AU13" i="7"/>
  <c r="CK13" i="7" s="1"/>
  <c r="AU21" i="7"/>
  <c r="CK21" i="7" s="1"/>
  <c r="AU14" i="7"/>
  <c r="CK14" i="7" s="1"/>
  <c r="AQ20" i="7"/>
  <c r="CL20" i="7" s="1"/>
  <c r="AQ10" i="7"/>
  <c r="CL10" i="7" s="1"/>
  <c r="AQ12" i="7"/>
  <c r="CL12" i="7" s="1"/>
  <c r="AQ16" i="7"/>
  <c r="CL16" i="7" s="1"/>
  <c r="AQ24" i="7"/>
  <c r="CL24" i="7" s="1"/>
  <c r="AQ18" i="7"/>
  <c r="CL18" i="7" s="1"/>
  <c r="C25" i="4"/>
  <c r="C24" i="4"/>
  <c r="C22" i="4"/>
  <c r="C16" i="4"/>
  <c r="C10" i="4"/>
  <c r="C18" i="4"/>
  <c r="C9" i="4"/>
  <c r="C11" i="4"/>
  <c r="C19" i="4"/>
  <c r="C17" i="4"/>
  <c r="C12" i="4"/>
  <c r="C20" i="4"/>
  <c r="C13" i="4"/>
  <c r="C21" i="4"/>
  <c r="C14" i="4"/>
  <c r="C23" i="4"/>
  <c r="C15" i="4"/>
  <c r="AQ27" i="7" l="1"/>
  <c r="G12" i="4"/>
  <c r="G17" i="4"/>
  <c r="G24" i="4"/>
  <c r="G15" i="4"/>
  <c r="G23" i="4"/>
  <c r="G11" i="4"/>
  <c r="G19" i="4"/>
  <c r="G14" i="4"/>
  <c r="G9" i="4"/>
  <c r="G21" i="4"/>
  <c r="G18" i="4"/>
  <c r="G13" i="4"/>
  <c r="G10" i="4"/>
  <c r="G20" i="4"/>
  <c r="G16" i="4"/>
  <c r="G22" i="4"/>
  <c r="G25" i="4"/>
  <c r="C29" i="4"/>
  <c r="C27" i="4"/>
  <c r="H15" i="3" l="1"/>
  <c r="I15" i="4"/>
  <c r="H16" i="3"/>
  <c r="I16" i="4"/>
  <c r="H19" i="3"/>
  <c r="I19" i="4"/>
  <c r="H20" i="3"/>
  <c r="I20" i="4"/>
  <c r="H11" i="3"/>
  <c r="I11" i="4"/>
  <c r="H10" i="3"/>
  <c r="I10" i="4"/>
  <c r="H23" i="3"/>
  <c r="I23" i="4"/>
  <c r="H13" i="3"/>
  <c r="I13" i="4"/>
  <c r="H18" i="3"/>
  <c r="I18" i="4"/>
  <c r="H21" i="3"/>
  <c r="I21" i="4"/>
  <c r="H17" i="3"/>
  <c r="I17" i="4"/>
  <c r="H24" i="3"/>
  <c r="I24" i="4"/>
  <c r="H25" i="3"/>
  <c r="I25" i="4"/>
  <c r="H12" i="3"/>
  <c r="I12" i="4"/>
  <c r="H22" i="3"/>
  <c r="I22" i="4"/>
  <c r="H14" i="3"/>
  <c r="I14" i="4"/>
  <c r="H9" i="3"/>
  <c r="I9" i="4"/>
  <c r="G29" i="4"/>
  <c r="G27" i="4"/>
  <c r="I27" i="4" l="1"/>
  <c r="H26" i="3"/>
</calcChain>
</file>

<file path=xl/sharedStrings.xml><?xml version="1.0" encoding="utf-8"?>
<sst xmlns="http://schemas.openxmlformats.org/spreadsheetml/2006/main" count="747" uniqueCount="210">
  <si>
    <t>Fantasy Premier League (FPL) Rules</t>
  </si>
  <si>
    <t>The joining fee is R250 per member. This fee will be used to book a venue where the UEFA Champions League final will be watched.</t>
  </si>
  <si>
    <t>This joining fee must be paid by 30 September 2025. Failiing to do so will result in gameweek fines being accrued until payment is made. Fine per gameweek is R100.</t>
  </si>
  <si>
    <t>Each game week, the three teams with the lowest scores will pay R100 each. If there is a tie for either the third, second or first lowest score, all teams tied will pay.</t>
  </si>
  <si>
    <t>The player with the lowest aggregate score at the end of the season will pay an additional R250.</t>
  </si>
  <si>
    <t>Male guests who wish to join us and watch along will have to pay the average contribution made throughout the season, which will be determined at the end of the season.</t>
  </si>
  <si>
    <t>Members who wish to leave after Game week 18 can do so, but they must pay the amount accumulated plus an additional 150% of that amount. 
They will also not be allowed to attend future events unless they comply with the above rule.</t>
  </si>
  <si>
    <t>If COVID-19 or a similar event occurs and the games are stopped, the rules will remain in place. No concessions or force majeure will be applied.</t>
  </si>
  <si>
    <t xml:space="preserve">The winner of the FPL competition will select alcohol of their choice to be consumed during the Champions League final. </t>
  </si>
  <si>
    <t xml:space="preserve">The person at the bottom of the log at the end of GW19 is responsible for finding the venue for the final by 31 January 2026, and this venue must be in Gauteng. </t>
  </si>
  <si>
    <t>This venue is to be approved by the person at the top of the log at the end of GW19. Failure to find a venue by 31 January 2026 will result in fines being accrued for every gameweek where a venue is not finalised. Fine per gameweek is R100.</t>
  </si>
  <si>
    <t>The loser of the FPL competition must buy ice from their own personal funds and will be the squire to the winner. If the squire is out of town due to circumstances beyond their control, at the discretion of the board, the duties will fall to the second biggest loser.</t>
  </si>
  <si>
    <t>Payments will be split into two this season. The first payment is due at the end of Gameweek 19 (BEFORE GAMEWEEK 20 BEGINS). If a member fails to pay by the agreed upon deadline, they will accrue R100 for each gameweek subsequent to Gameweek 19 (FROM THE START OF GAMEWEEK 20).</t>
  </si>
  <si>
    <t>The amount due must be paid to the following account with your name followed by "FPL" as the reference:</t>
  </si>
  <si>
    <t>The treasurer will then transfer the funds at the end of the season to the appropriate party.</t>
  </si>
  <si>
    <t>Females are only allowed to join after the game.</t>
  </si>
  <si>
    <t xml:space="preserve">THE WINNER OF THE LEAGUE WILL BE AWARDED WITH A FOOTBALL JERSEY AS A REWARD. STRICTLY REPLICA/FAN JERSEY. </t>
  </si>
  <si>
    <t>These rules were agreed upon on August 10th, 2025 and will remain in place until after the 2026 UEFA Champions League final on May 30, 2026.</t>
  </si>
  <si>
    <t>[Bank account details]</t>
  </si>
  <si>
    <t>Account holder: SN Zwane
Account Name: Capitec Savings
Account Number: 1523803027
Branch Code 470010
Ref: Name and "FPL"</t>
  </si>
  <si>
    <t>Rules</t>
  </si>
  <si>
    <t>Roster</t>
  </si>
  <si>
    <t>Last Man Paying</t>
  </si>
  <si>
    <t>Budget</t>
  </si>
  <si>
    <t>No.</t>
  </si>
  <si>
    <t>Team</t>
  </si>
  <si>
    <t>Manager</t>
  </si>
  <si>
    <t xml:space="preserve">YTD Payment Received </t>
  </si>
  <si>
    <t xml:space="preserve">Joining Fee Payment Received </t>
  </si>
  <si>
    <t>Total</t>
  </si>
  <si>
    <t>Amount Owing</t>
  </si>
  <si>
    <t>Bottom 3 appearances</t>
  </si>
  <si>
    <t>Learnmore Ntshangase</t>
  </si>
  <si>
    <t>A Cunha Matata</t>
  </si>
  <si>
    <t>Fine issued for late payment</t>
  </si>
  <si>
    <t>Fanele Msweli</t>
  </si>
  <si>
    <t>Boehlys World Champs</t>
  </si>
  <si>
    <t>Lethu Mkhwanazi</t>
  </si>
  <si>
    <t>Bruno, dos, tres</t>
  </si>
  <si>
    <t>Mhlengi Kunene</t>
  </si>
  <si>
    <t>Hidden Hills</t>
  </si>
  <si>
    <t>Minenhle Khumalo</t>
  </si>
  <si>
    <t>Hot Slot FC</t>
  </si>
  <si>
    <t>Nhlakanipho Ntombela</t>
  </si>
  <si>
    <t>Iam_ntombela</t>
  </si>
  <si>
    <t>Mtho Mabizela</t>
  </si>
  <si>
    <t>Joao Island</t>
  </si>
  <si>
    <t>Siyanda Ndaba</t>
  </si>
  <si>
    <t>JustGimmeDeLigt</t>
  </si>
  <si>
    <t>President Gamede</t>
  </si>
  <si>
    <t>Los Primeros</t>
  </si>
  <si>
    <t>Fine issued for late payment, GW20 &amp; GW21</t>
  </si>
  <si>
    <t>Luthando Ngidi</t>
  </si>
  <si>
    <t>Palmergeddon</t>
  </si>
  <si>
    <t>settled his fine</t>
  </si>
  <si>
    <t>Kudzai Kupeta</t>
  </si>
  <si>
    <t>Rice Rice Baby</t>
  </si>
  <si>
    <t>Thembalethu Miya</t>
  </si>
  <si>
    <t>Root_.5 FC</t>
  </si>
  <si>
    <t>Nkosi The Chef</t>
  </si>
  <si>
    <t>Šeśko Mode</t>
  </si>
  <si>
    <t>Sthe Coqueto</t>
  </si>
  <si>
    <t>Sthe Coqueto</t>
  </si>
  <si>
    <t>Bheka Bhengu</t>
  </si>
  <si>
    <t>SzoboSlay</t>
  </si>
  <si>
    <t>Thato Choshi</t>
  </si>
  <si>
    <t>TAYDO FC</t>
  </si>
  <si>
    <t>Mbuyi Katumba</t>
  </si>
  <si>
    <t>Walala WaSalah</t>
  </si>
  <si>
    <t>Loser</t>
  </si>
  <si>
    <t>Amount</t>
  </si>
  <si>
    <t>Fines</t>
  </si>
  <si>
    <t>GW20 Fines</t>
  </si>
  <si>
    <t>GW21 Fines</t>
  </si>
  <si>
    <t>Amount Paid</t>
  </si>
  <si>
    <t>Outstanding</t>
  </si>
  <si>
    <t xml:space="preserve">Total </t>
  </si>
  <si>
    <t>Average</t>
  </si>
  <si>
    <t>Gameweek</t>
  </si>
  <si>
    <t>Payment status</t>
  </si>
  <si>
    <t>Paid</t>
  </si>
  <si>
    <t>GW 1</t>
  </si>
  <si>
    <t>GW 2</t>
  </si>
  <si>
    <t>GW 3</t>
  </si>
  <si>
    <t>GW 4</t>
  </si>
  <si>
    <t>GW 5</t>
  </si>
  <si>
    <t>GW 6</t>
  </si>
  <si>
    <t>GW 7</t>
  </si>
  <si>
    <t>GW 8</t>
  </si>
  <si>
    <t>GW 9</t>
  </si>
  <si>
    <t>GW 10</t>
  </si>
  <si>
    <t>GW 11</t>
  </si>
  <si>
    <t>GW 12</t>
  </si>
  <si>
    <t>GW 13</t>
  </si>
  <si>
    <t>GW 14</t>
  </si>
  <si>
    <t>GW 15</t>
  </si>
  <si>
    <t>GW 16</t>
  </si>
  <si>
    <t>GW 17</t>
  </si>
  <si>
    <t>GW 18</t>
  </si>
  <si>
    <t>GW 19</t>
  </si>
  <si>
    <t>GW 20</t>
  </si>
  <si>
    <t>GW 21</t>
  </si>
  <si>
    <t>GW 22</t>
  </si>
  <si>
    <t>GW 23</t>
  </si>
  <si>
    <t>GW 24</t>
  </si>
  <si>
    <t>GW 25</t>
  </si>
  <si>
    <t>GW 26</t>
  </si>
  <si>
    <t>GW 27</t>
  </si>
  <si>
    <t>GW 28</t>
  </si>
  <si>
    <t>GW 29</t>
  </si>
  <si>
    <t>GW 30</t>
  </si>
  <si>
    <t>GW 31</t>
  </si>
  <si>
    <t>GW 32</t>
  </si>
  <si>
    <t>GW 33</t>
  </si>
  <si>
    <t>GW 34</t>
  </si>
  <si>
    <t>GW 35</t>
  </si>
  <si>
    <t>GW 36</t>
  </si>
  <si>
    <t>GW 37</t>
  </si>
  <si>
    <t>GW 38</t>
  </si>
  <si>
    <t>Lowest points</t>
  </si>
  <si>
    <t>GW1</t>
  </si>
  <si>
    <t>GW2</t>
  </si>
  <si>
    <t>GW3</t>
  </si>
  <si>
    <t>GW4</t>
  </si>
  <si>
    <t>GW5</t>
  </si>
  <si>
    <t>GW6</t>
  </si>
  <si>
    <t>GW7</t>
  </si>
  <si>
    <t>GW8</t>
  </si>
  <si>
    <t>GW9</t>
  </si>
  <si>
    <t>GW10</t>
  </si>
  <si>
    <t>GW11</t>
  </si>
  <si>
    <t>GW12</t>
  </si>
  <si>
    <t>GW13</t>
  </si>
  <si>
    <t>GW14</t>
  </si>
  <si>
    <t>GW15</t>
  </si>
  <si>
    <t>GW16</t>
  </si>
  <si>
    <t>GW17</t>
  </si>
  <si>
    <t>GW18</t>
  </si>
  <si>
    <t>GW19</t>
  </si>
  <si>
    <t>GW20</t>
  </si>
  <si>
    <t>GW21</t>
  </si>
  <si>
    <t>GW22</t>
  </si>
  <si>
    <t>GW23</t>
  </si>
  <si>
    <t>GW24</t>
  </si>
  <si>
    <t>GW25</t>
  </si>
  <si>
    <t>GW26</t>
  </si>
  <si>
    <t>GW27</t>
  </si>
  <si>
    <t>GW28</t>
  </si>
  <si>
    <t>GW29</t>
  </si>
  <si>
    <t>GW30</t>
  </si>
  <si>
    <t>GW31</t>
  </si>
  <si>
    <t>GW32</t>
  </si>
  <si>
    <t>GW33</t>
  </si>
  <si>
    <t>GW34</t>
  </si>
  <si>
    <t>GW35</t>
  </si>
  <si>
    <t>GW36</t>
  </si>
  <si>
    <t>GW37</t>
  </si>
  <si>
    <t>GW38</t>
  </si>
  <si>
    <t>Points</t>
  </si>
  <si>
    <t>Position</t>
  </si>
  <si>
    <t>YTD Points</t>
  </si>
  <si>
    <t>A Cunha Matata (Learnmore Ntshangase)</t>
  </si>
  <si>
    <t>Boehlys World Champs (Fanele Msweli)</t>
  </si>
  <si>
    <t>Bruno, dos, tres (Lethu Mkhwanazi)</t>
  </si>
  <si>
    <t>Hidden Hills (Mhlengi Kunene)</t>
  </si>
  <si>
    <t>Hot Slot FC (Minenhle Khumalo)</t>
  </si>
  <si>
    <t>Iam_ntombela (Nhlakanipho Ntombela)</t>
  </si>
  <si>
    <t>Joao Island (Mtho Mabizela)</t>
  </si>
  <si>
    <t>JustGimmeDeLigt (Siyanda Ndaba)</t>
  </si>
  <si>
    <t>Los Primeros (President Gamede)</t>
  </si>
  <si>
    <t>Palmergeddon (Luthando Ngidi)</t>
  </si>
  <si>
    <t>Rice Rice Baby (Kudzai Kupeta)</t>
  </si>
  <si>
    <t>Root_.5 FC (Thembalethu Miya)</t>
  </si>
  <si>
    <t>Šeśko Mode (Nkosi The Chef)</t>
  </si>
  <si>
    <t>Sthe Coqueto (Sthe Coqueto)</t>
  </si>
  <si>
    <t>SzoboSlay (Bheka Bhengu)</t>
  </si>
  <si>
    <t>TAYDO FC (Thato Choshi)</t>
  </si>
  <si>
    <t>Walala WaSalah (Mbuyi Katumba)</t>
  </si>
  <si>
    <t>League total</t>
  </si>
  <si>
    <t>Median</t>
  </si>
  <si>
    <t>Highest</t>
  </si>
  <si>
    <t>Lowest</t>
  </si>
  <si>
    <t>Lowest 1</t>
  </si>
  <si>
    <t>Lowest 2</t>
  </si>
  <si>
    <t>Lowest 3</t>
  </si>
  <si>
    <t>Lowest 4</t>
  </si>
  <si>
    <t>Lowest 5</t>
  </si>
  <si>
    <t>Lowest 6</t>
  </si>
  <si>
    <t>Lowest 7</t>
  </si>
  <si>
    <t>Lowest 8</t>
  </si>
  <si>
    <t>Lowest 9</t>
  </si>
  <si>
    <t>Lowest 10</t>
  </si>
  <si>
    <t>Lowest 11</t>
  </si>
  <si>
    <t>Lowest 12</t>
  </si>
  <si>
    <t>Lowest 13</t>
  </si>
  <si>
    <t>Lowest 14</t>
  </si>
  <si>
    <t>Lowest 15</t>
  </si>
  <si>
    <t>Lowest 16</t>
  </si>
  <si>
    <t>Lowest 17</t>
  </si>
  <si>
    <t>Month Funds Received</t>
  </si>
  <si>
    <t xml:space="preserve">August </t>
  </si>
  <si>
    <t xml:space="preserve">September </t>
  </si>
  <si>
    <t xml:space="preserve">October </t>
  </si>
  <si>
    <t xml:space="preserve">November </t>
  </si>
  <si>
    <t xml:space="preserve">December </t>
  </si>
  <si>
    <t xml:space="preserve">January </t>
  </si>
  <si>
    <t xml:space="preserve">February </t>
  </si>
  <si>
    <t xml:space="preserve">March </t>
  </si>
  <si>
    <t xml:space="preserve">April </t>
  </si>
  <si>
    <t>May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</si>
</sst>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44" formatCode="_-&quot;R&quot;* #,##0.00_-;\-&quot;R&quot;* #,##0.00_-;_-&quot;R&quot;* &quot;-&quot;??_-;_-@_-"/>
    <numFmt numFmtId="43" formatCode="_-* #,##0.00_-;\-* #,##0.00_-;_-* &quot;-&quot;??_-;_-@_-"/>
    <numFmt numFmtId="164" formatCode="[$R]#,##0.00"/>
    <numFmt numFmtId="165" formatCode="[$R]#,##0"/>
    <numFmt numFmtId="166" formatCode="_-* #,##0_-;\-* #,##0_-;_-* &quot;-&quot;??_-;_-@_-"/>
    <numFmt numFmtId="167" formatCode="[$R-431]\ #,##0.00"/>
  </numFmts>
  <fonts count="33" x14ac:knownFonts="1">
    <font>
      <sz val="10"/>
      <color rgb="FF000000"/>
      <name val="Arial"/>
      <scheme val="minor"/>
    </font>
    <font>
      <b/>
      <sz val="10"/>
      <color theme="1"/>
      <name val="Arial"/>
    </font>
    <font>
      <sz val="10"/>
      <color theme="1"/>
      <name val="Arial"/>
    </font>
    <font>
      <sz val="10"/>
      <name val="Arial"/>
    </font>
    <font>
      <i/>
      <sz val="10"/>
      <color theme="1"/>
      <name val="Arial"/>
    </font>
    <font>
      <sz val="10"/>
      <color rgb="FF000000"/>
      <name val="Arial"/>
    </font>
    <font>
      <i/>
      <u/>
      <sz val="10"/>
      <color theme="10"/>
      <name val="Arial"/>
    </font>
    <font>
      <sz val="10"/>
      <color rgb="FF000000"/>
      <name val="Arial"/>
      <scheme val="minor"/>
    </font>
    <font>
      <u/>
      <sz val="10"/>
      <color theme="10"/>
      <name val="Arial"/>
      <scheme val="minor"/>
    </font>
    <font>
      <sz val="10"/>
      <color theme="1"/>
      <name val="Arial"/>
      <family val="2"/>
    </font>
    <font>
      <sz val="10"/>
      <color rgb="FF000000"/>
      <name val="Arial"/>
      <family val="2"/>
      <scheme val="minor"/>
    </font>
    <font>
      <sz val="8"/>
      <color rgb="FF000000"/>
      <name val="Arial"/>
      <family val="2"/>
    </font>
    <font>
      <sz val="8"/>
      <color rgb="FF000000"/>
      <name val="Arial"/>
      <family val="2"/>
      <scheme val="minor"/>
    </font>
    <font>
      <b/>
      <sz val="8"/>
      <color rgb="FF000000"/>
      <name val="Arial"/>
      <family val="2"/>
    </font>
    <font>
      <u/>
      <sz val="8"/>
      <color theme="10"/>
      <name val="Arial"/>
      <family val="2"/>
      <scheme val="minor"/>
    </font>
    <font>
      <b/>
      <sz val="10"/>
      <color theme="1"/>
      <name val="Arial"/>
      <family val="2"/>
    </font>
    <font>
      <b/>
      <sz val="8"/>
      <color theme="1"/>
      <name val="Arial"/>
      <family val="2"/>
    </font>
    <font>
      <sz val="8"/>
      <color theme="1"/>
      <name val="Arial"/>
      <family val="2"/>
    </font>
    <font>
      <i/>
      <sz val="8"/>
      <color theme="1"/>
      <name val="Arial"/>
      <family val="2"/>
    </font>
    <font>
      <i/>
      <sz val="8"/>
      <color rgb="FF000000"/>
      <name val="Arial"/>
      <family val="2"/>
    </font>
    <font>
      <b/>
      <sz val="10"/>
      <color theme="0"/>
      <name val="Arial"/>
      <family val="2"/>
    </font>
    <font>
      <b/>
      <sz val="8"/>
      <color theme="0"/>
      <name val="Arial"/>
      <family val="2"/>
    </font>
    <font>
      <sz val="8"/>
      <color theme="1"/>
      <name val="Arial"/>
      <family val="2"/>
      <scheme val="minor"/>
    </font>
    <font>
      <b/>
      <i/>
      <sz val="8"/>
      <color theme="7"/>
      <name val="Arial"/>
      <family val="2"/>
    </font>
    <font>
      <b/>
      <i/>
      <sz val="8"/>
      <color rgb="FF000000"/>
      <name val="Arial"/>
      <family val="2"/>
    </font>
    <font>
      <sz val="8"/>
      <name val="Arial"/>
      <family val="2"/>
      <scheme val="minor"/>
    </font>
    <font>
      <b/>
      <sz val="8"/>
      <color rgb="FF000000"/>
      <name val="Arial"/>
      <family val="2"/>
      <scheme val="minor"/>
    </font>
    <font>
      <sz val="8"/>
      <color theme="0"/>
      <name val="Arial"/>
      <family val="2"/>
    </font>
    <font>
      <b/>
      <u/>
      <sz val="8"/>
      <color rgb="FF000000"/>
      <name val="Arial"/>
      <family val="2"/>
      <scheme val="minor"/>
    </font>
    <font>
      <sz val="9"/>
      <color rgb="FFFFFFFF"/>
      <name val="Segoe UI"/>
      <family val="2"/>
    </font>
    <font>
      <sz val="10"/>
      <color rgb="FFFFFFFF"/>
      <name val="Arial"/>
      <family val="2"/>
      <scheme val="minor"/>
    </font>
    <font>
      <b/>
      <sz val="9"/>
      <color rgb="FFFFFFFF"/>
      <name val="Segoe UI"/>
      <family val="2"/>
    </font>
    <font>
      <sz val="7"/>
      <color rgb="FFFFFFFF"/>
      <name val="Segoe UI"/>
      <family val="2"/>
    </font>
  </fonts>
  <fills count="17">
    <fill>
      <patternFill patternType="none"/>
    </fill>
    <fill>
      <patternFill patternType="gray125"/>
    </fill>
    <fill>
      <patternFill patternType="solid">
        <fgColor rgb="FFD9E6FC"/>
        <bgColor rgb="FFD9E6FC"/>
      </patternFill>
    </fill>
    <fill>
      <patternFill patternType="solid">
        <fgColor theme="0"/>
        <bgColor theme="0"/>
      </patternFill>
    </fill>
    <fill>
      <patternFill patternType="solid">
        <fgColor rgb="FFFFFFFF"/>
        <bgColor rgb="FFFFFFFF"/>
      </patternFill>
    </fill>
    <fill>
      <patternFill patternType="solid">
        <fgColor rgb="FFFAD9D6"/>
        <bgColor rgb="FFFAD9D6"/>
      </patternFill>
    </fill>
    <fill>
      <patternFill patternType="solid">
        <fgColor rgb="FFD2F1DA"/>
        <bgColor rgb="FFD2F1DA"/>
      </patternFill>
    </fill>
    <fill>
      <patternFill patternType="solid">
        <fgColor rgb="FFFFF2CC"/>
        <bgColor rgb="FFFFF2CC"/>
      </patternFill>
    </fill>
    <fill>
      <patternFill patternType="solid">
        <fgColor rgb="FFD9D2E9"/>
        <bgColor rgb="FFD9D2E9"/>
      </patternFill>
    </fill>
    <fill>
      <patternFill patternType="solid">
        <fgColor theme="7"/>
        <bgColor rgb="FFC9DAF8"/>
      </patternFill>
    </fill>
    <fill>
      <patternFill patternType="solid">
        <fgColor theme="7"/>
        <bgColor rgb="FFCFE2F3"/>
      </patternFill>
    </fill>
    <fill>
      <patternFill patternType="solid">
        <fgColor theme="7"/>
        <bgColor rgb="FFD9E6FC"/>
      </patternFill>
    </fill>
    <fill>
      <patternFill patternType="solid">
        <fgColor theme="9"/>
        <bgColor rgb="FFD9E6FC"/>
      </patternFill>
    </fill>
    <fill>
      <patternFill patternType="solid">
        <fgColor rgb="FFFFCCFF"/>
        <bgColor rgb="FFD2F1DA"/>
      </patternFill>
    </fill>
    <fill>
      <patternFill patternType="solid">
        <fgColor rgb="FFFF0000"/>
        <bgColor indexed="64"/>
      </patternFill>
    </fill>
    <fill>
      <patternFill patternType="solid">
        <fgColor rgb="FF343A40"/>
        <bgColor indexed="64"/>
      </patternFill>
    </fill>
    <fill>
      <patternFill patternType="solid">
        <fgColor rgb="FF22597D"/>
        <bgColor indexed="64"/>
      </patternFill>
    </fill>
  </fills>
  <borders count="20">
    <border>
      <left/>
      <right/>
      <top/>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diagonal/>
    </border>
    <border>
      <left/>
      <right style="thin">
        <color rgb="FF000000"/>
      </right>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medium">
        <color rgb="FF000000"/>
      </left>
      <right style="medium">
        <color rgb="FF000000"/>
      </right>
      <top style="medium">
        <color rgb="FF000000"/>
      </top>
      <bottom style="medium">
        <color rgb="FF000000"/>
      </bottom>
      <diagonal/>
    </border>
    <border>
      <left/>
      <right/>
      <top/>
      <bottom/>
      <diagonal/>
    </border>
    <border>
      <left/>
      <right/>
      <top/>
      <bottom style="medium">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medium">
        <color indexed="64"/>
      </bottom>
      <diagonal/>
    </border>
    <border>
      <left/>
      <right/>
      <top style="medium">
        <color rgb="FF454D55"/>
      </top>
      <bottom/>
      <diagonal/>
    </border>
    <border>
      <left/>
      <right/>
      <top/>
      <bottom style="thick">
        <color rgb="FF454D55"/>
      </bottom>
      <diagonal/>
    </border>
    <border>
      <left/>
      <right/>
      <top style="thick">
        <color rgb="FF454D55"/>
      </top>
      <bottom/>
      <diagonal/>
    </border>
    <border>
      <left/>
      <right/>
      <top/>
      <bottom style="medium">
        <color rgb="FF454D55"/>
      </bottom>
      <diagonal/>
    </border>
  </borders>
  <cellStyleXfs count="4">
    <xf numFmtId="0" fontId="0" fillId="0" borderId="0"/>
    <xf numFmtId="43" fontId="7" fillId="0" borderId="0" applyFont="0" applyFill="0" applyBorder="0" applyAlignment="0" applyProtection="0"/>
    <xf numFmtId="44" fontId="7" fillId="0" borderId="0" applyFont="0" applyFill="0" applyBorder="0" applyAlignment="0" applyProtection="0"/>
    <xf numFmtId="0" fontId="8" fillId="0" borderId="0" applyNumberFormat="0" applyFill="0" applyBorder="0" applyAlignment="0" applyProtection="0"/>
  </cellStyleXfs>
  <cellXfs count="152">
    <xf numFmtId="0" fontId="0" fillId="0" borderId="0" xfId="0"/>
    <xf numFmtId="0" fontId="2" fillId="0" borderId="4" xfId="0" applyFont="1" applyBorder="1"/>
    <xf numFmtId="0" fontId="2" fillId="0" borderId="5" xfId="0" applyFont="1" applyBorder="1"/>
    <xf numFmtId="0" fontId="1" fillId="0" borderId="4" xfId="0" applyFont="1" applyBorder="1"/>
    <xf numFmtId="0" fontId="2" fillId="0" borderId="6" xfId="0" applyFont="1" applyBorder="1"/>
    <xf numFmtId="0" fontId="2" fillId="0" borderId="7" xfId="0" applyFont="1" applyBorder="1"/>
    <xf numFmtId="0" fontId="2" fillId="0" borderId="8" xfId="0" applyFont="1" applyBorder="1"/>
    <xf numFmtId="0" fontId="11" fillId="0" borderId="0" xfId="0" applyFont="1"/>
    <xf numFmtId="0" fontId="12" fillId="0" borderId="0" xfId="0" applyFont="1"/>
    <xf numFmtId="0" fontId="9" fillId="0" borderId="4" xfId="0" applyFont="1" applyBorder="1"/>
    <xf numFmtId="0" fontId="9" fillId="0" borderId="4" xfId="0" applyFont="1" applyBorder="1" applyAlignment="1">
      <alignment vertical="top"/>
    </xf>
    <xf numFmtId="0" fontId="0" fillId="0" borderId="10" xfId="0" applyBorder="1"/>
    <xf numFmtId="0" fontId="11" fillId="0" borderId="10" xfId="0" applyFont="1" applyBorder="1"/>
    <xf numFmtId="0" fontId="11" fillId="0" borderId="10" xfId="0" applyFont="1" applyBorder="1" applyAlignment="1">
      <alignment horizontal="center"/>
    </xf>
    <xf numFmtId="0" fontId="16" fillId="0" borderId="0" xfId="0" applyFont="1"/>
    <xf numFmtId="0" fontId="17" fillId="0" borderId="0" xfId="0" applyFont="1"/>
    <xf numFmtId="164" fontId="18" fillId="0" borderId="10" xfId="0" applyNumberFormat="1" applyFont="1" applyBorder="1"/>
    <xf numFmtId="165" fontId="17" fillId="0" borderId="9" xfId="0" applyNumberFormat="1" applyFont="1" applyBorder="1"/>
    <xf numFmtId="165" fontId="17" fillId="0" borderId="10" xfId="0" applyNumberFormat="1" applyFont="1" applyBorder="1"/>
    <xf numFmtId="0" fontId="19" fillId="0" borderId="0" xfId="0" applyFont="1"/>
    <xf numFmtId="164" fontId="19" fillId="0" borderId="0" xfId="0" applyNumberFormat="1" applyFont="1"/>
    <xf numFmtId="0" fontId="14" fillId="0" borderId="10" xfId="3" applyFont="1" applyFill="1" applyBorder="1" applyAlignment="1">
      <alignment vertical="center"/>
    </xf>
    <xf numFmtId="0" fontId="20" fillId="9" borderId="1" xfId="0" applyFont="1" applyFill="1" applyBorder="1"/>
    <xf numFmtId="0" fontId="20" fillId="9" borderId="2" xfId="0" applyFont="1" applyFill="1" applyBorder="1"/>
    <xf numFmtId="0" fontId="20" fillId="9" borderId="3" xfId="0" applyFont="1" applyFill="1" applyBorder="1"/>
    <xf numFmtId="0" fontId="20" fillId="10" borderId="10" xfId="0" applyFont="1" applyFill="1" applyBorder="1"/>
    <xf numFmtId="0" fontId="5" fillId="0" borderId="10" xfId="0" applyFont="1" applyBorder="1"/>
    <xf numFmtId="0" fontId="16" fillId="3" borderId="10" xfId="0" applyFont="1" applyFill="1" applyBorder="1"/>
    <xf numFmtId="0" fontId="16" fillId="4" borderId="10" xfId="0" applyFont="1" applyFill="1" applyBorder="1"/>
    <xf numFmtId="0" fontId="17" fillId="0" borderId="10" xfId="0" applyFont="1" applyBorder="1"/>
    <xf numFmtId="0" fontId="17" fillId="2" borderId="10" xfId="0" applyFont="1" applyFill="1" applyBorder="1"/>
    <xf numFmtId="0" fontId="18" fillId="2" borderId="10" xfId="0" applyFont="1" applyFill="1" applyBorder="1"/>
    <xf numFmtId="164" fontId="17" fillId="2" borderId="10" xfId="0" applyNumberFormat="1" applyFont="1" applyFill="1" applyBorder="1"/>
    <xf numFmtId="0" fontId="17" fillId="5" borderId="10" xfId="0" applyFont="1" applyFill="1" applyBorder="1"/>
    <xf numFmtId="0" fontId="18" fillId="5" borderId="10" xfId="0" applyFont="1" applyFill="1" applyBorder="1"/>
    <xf numFmtId="164" fontId="17" fillId="5" borderId="10" xfId="0" applyNumberFormat="1" applyFont="1" applyFill="1" applyBorder="1"/>
    <xf numFmtId="0" fontId="17" fillId="6" borderId="10" xfId="0" applyFont="1" applyFill="1" applyBorder="1"/>
    <xf numFmtId="0" fontId="18" fillId="6" borderId="10" xfId="0" applyFont="1" applyFill="1" applyBorder="1"/>
    <xf numFmtId="164" fontId="17" fillId="6" borderId="10" xfId="0" applyNumberFormat="1" applyFont="1" applyFill="1" applyBorder="1"/>
    <xf numFmtId="0" fontId="17" fillId="7" borderId="10" xfId="0" applyFont="1" applyFill="1" applyBorder="1"/>
    <xf numFmtId="0" fontId="18" fillId="7" borderId="10" xfId="0" applyFont="1" applyFill="1" applyBorder="1"/>
    <xf numFmtId="164" fontId="17" fillId="7" borderId="10" xfId="0" applyNumberFormat="1" applyFont="1" applyFill="1" applyBorder="1"/>
    <xf numFmtId="14" fontId="22" fillId="0" borderId="0" xfId="0" applyNumberFormat="1" applyFont="1"/>
    <xf numFmtId="0" fontId="17" fillId="8" borderId="10" xfId="0" applyFont="1" applyFill="1" applyBorder="1"/>
    <xf numFmtId="0" fontId="18" fillId="8" borderId="10" xfId="0" applyFont="1" applyFill="1" applyBorder="1"/>
    <xf numFmtId="164" fontId="17" fillId="8" borderId="10" xfId="0" applyNumberFormat="1" applyFont="1" applyFill="1" applyBorder="1"/>
    <xf numFmtId="0" fontId="18" fillId="0" borderId="10" xfId="0" applyFont="1" applyBorder="1"/>
    <xf numFmtId="164" fontId="17" fillId="0" borderId="10" xfId="0" applyNumberFormat="1" applyFont="1" applyBorder="1"/>
    <xf numFmtId="0" fontId="23" fillId="0" borderId="0" xfId="0" applyFont="1"/>
    <xf numFmtId="0" fontId="24" fillId="0" borderId="0" xfId="0" applyFont="1"/>
    <xf numFmtId="165" fontId="23" fillId="0" borderId="0" xfId="0" applyNumberFormat="1" applyFont="1"/>
    <xf numFmtId="164" fontId="17" fillId="0" borderId="0" xfId="0" applyNumberFormat="1" applyFont="1"/>
    <xf numFmtId="0" fontId="15" fillId="3" borderId="10" xfId="0" applyFont="1" applyFill="1" applyBorder="1"/>
    <xf numFmtId="0" fontId="10" fillId="0" borderId="0" xfId="0" applyFont="1"/>
    <xf numFmtId="0" fontId="22" fillId="0" borderId="10" xfId="0" applyFont="1" applyBorder="1" applyAlignment="1">
      <alignment vertical="center"/>
    </xf>
    <xf numFmtId="0" fontId="11" fillId="0" borderId="0" xfId="0" applyFont="1" applyAlignment="1">
      <alignment horizontal="center" vertical="center" wrapText="1"/>
    </xf>
    <xf numFmtId="0" fontId="20" fillId="11" borderId="10" xfId="0" applyFont="1" applyFill="1" applyBorder="1" applyAlignment="1">
      <alignment horizontal="center" vertical="center" wrapText="1"/>
    </xf>
    <xf numFmtId="0" fontId="12" fillId="0" borderId="0" xfId="0" applyFont="1" applyAlignment="1">
      <alignment horizontal="center" vertical="center" wrapText="1"/>
    </xf>
    <xf numFmtId="44" fontId="11" fillId="0" borderId="10" xfId="2" applyFont="1" applyBorder="1"/>
    <xf numFmtId="44" fontId="12" fillId="0" borderId="10" xfId="2" applyFont="1" applyBorder="1"/>
    <xf numFmtId="0" fontId="21" fillId="11" borderId="10" xfId="0" applyFont="1" applyFill="1" applyBorder="1" applyAlignment="1">
      <alignment horizontal="center" vertical="center" wrapText="1"/>
    </xf>
    <xf numFmtId="0" fontId="26" fillId="0" borderId="0" xfId="0" applyFont="1"/>
    <xf numFmtId="0" fontId="13" fillId="0" borderId="0" xfId="0" applyFont="1"/>
    <xf numFmtId="2" fontId="11" fillId="0" borderId="0" xfId="0" applyNumberFormat="1" applyFont="1"/>
    <xf numFmtId="166" fontId="11" fillId="0" borderId="0" xfId="1" applyNumberFormat="1" applyFont="1"/>
    <xf numFmtId="166" fontId="13" fillId="0" borderId="0" xfId="1" applyNumberFormat="1" applyFont="1"/>
    <xf numFmtId="43" fontId="11" fillId="0" borderId="0" xfId="1" applyFont="1"/>
    <xf numFmtId="0" fontId="6" fillId="0" borderId="10" xfId="0" applyFont="1" applyBorder="1"/>
    <xf numFmtId="1" fontId="26" fillId="0" borderId="0" xfId="0" applyNumberFormat="1" applyFont="1"/>
    <xf numFmtId="0" fontId="20" fillId="12" borderId="10" xfId="0" applyFont="1" applyFill="1" applyBorder="1" applyAlignment="1">
      <alignment horizontal="center" vertical="center" wrapText="1"/>
    </xf>
    <xf numFmtId="43" fontId="13" fillId="0" borderId="11" xfId="1" applyFont="1" applyBorder="1"/>
    <xf numFmtId="0" fontId="11" fillId="0" borderId="0" xfId="0" applyFont="1" applyAlignment="1">
      <alignment horizontal="left"/>
    </xf>
    <xf numFmtId="0" fontId="17" fillId="13" borderId="10" xfId="0" applyFont="1" applyFill="1" applyBorder="1"/>
    <xf numFmtId="0" fontId="18" fillId="13" borderId="10" xfId="0" applyFont="1" applyFill="1" applyBorder="1"/>
    <xf numFmtId="164" fontId="17" fillId="13" borderId="10" xfId="0" applyNumberFormat="1" applyFont="1" applyFill="1" applyBorder="1"/>
    <xf numFmtId="44" fontId="17" fillId="0" borderId="10" xfId="2" applyFont="1" applyBorder="1"/>
    <xf numFmtId="0" fontId="19" fillId="0" borderId="0" xfId="0" applyFont="1" applyAlignment="1">
      <alignment horizontal="left"/>
    </xf>
    <xf numFmtId="0" fontId="20" fillId="9" borderId="12" xfId="0" applyFont="1" applyFill="1" applyBorder="1"/>
    <xf numFmtId="0" fontId="20" fillId="9" borderId="13" xfId="0" applyFont="1" applyFill="1" applyBorder="1"/>
    <xf numFmtId="0" fontId="20" fillId="9" borderId="14" xfId="0" applyFont="1" applyFill="1" applyBorder="1"/>
    <xf numFmtId="43" fontId="13" fillId="0" borderId="10" xfId="1" applyFont="1" applyBorder="1"/>
    <xf numFmtId="0" fontId="20" fillId="11" borderId="12" xfId="0" applyFont="1" applyFill="1" applyBorder="1" applyAlignment="1">
      <alignment horizontal="center" vertical="center" wrapText="1"/>
    </xf>
    <xf numFmtId="0" fontId="20" fillId="11" borderId="14" xfId="0" applyFont="1" applyFill="1" applyBorder="1" applyAlignment="1">
      <alignment horizontal="center" vertical="center" wrapText="1"/>
    </xf>
    <xf numFmtId="0" fontId="27" fillId="0" borderId="0" xfId="0" applyFont="1"/>
    <xf numFmtId="0" fontId="20" fillId="11" borderId="13" xfId="0" applyFont="1" applyFill="1" applyBorder="1" applyAlignment="1">
      <alignment horizontal="center" vertical="center" wrapText="1"/>
    </xf>
    <xf numFmtId="0" fontId="12" fillId="0" borderId="10" xfId="0" applyFont="1" applyBorder="1" applyAlignment="1">
      <alignment vertical="center"/>
    </xf>
    <xf numFmtId="0" fontId="11" fillId="14" borderId="10" xfId="0" applyFont="1" applyFill="1" applyBorder="1"/>
    <xf numFmtId="0" fontId="14" fillId="14" borderId="10" xfId="3" applyFont="1" applyFill="1" applyBorder="1" applyAlignment="1">
      <alignment vertical="center"/>
    </xf>
    <xf numFmtId="44" fontId="12" fillId="14" borderId="10" xfId="2" applyFont="1" applyFill="1" applyBorder="1"/>
    <xf numFmtId="44" fontId="11" fillId="14" borderId="10" xfId="2" applyFont="1" applyFill="1" applyBorder="1"/>
    <xf numFmtId="0" fontId="11" fillId="14" borderId="10" xfId="0" applyFont="1" applyFill="1" applyBorder="1" applyAlignment="1">
      <alignment horizontal="center"/>
    </xf>
    <xf numFmtId="0" fontId="19" fillId="14" borderId="0" xfId="0" applyFont="1" applyFill="1" applyAlignment="1">
      <alignment horizontal="left"/>
    </xf>
    <xf numFmtId="0" fontId="12" fillId="14" borderId="10" xfId="0" applyFont="1" applyFill="1" applyBorder="1" applyAlignment="1">
      <alignment vertical="center"/>
    </xf>
    <xf numFmtId="0" fontId="21" fillId="11" borderId="12" xfId="0" applyFont="1" applyFill="1" applyBorder="1" applyAlignment="1">
      <alignment horizontal="center" vertical="center" wrapText="1"/>
    </xf>
    <xf numFmtId="0" fontId="21" fillId="0" borderId="10" xfId="0" applyFont="1" applyBorder="1" applyAlignment="1">
      <alignment horizontal="center" vertical="center" wrapText="1"/>
    </xf>
    <xf numFmtId="0" fontId="28" fillId="0" borderId="0" xfId="0" applyFont="1" applyAlignment="1">
      <alignment horizontal="center" vertical="center"/>
    </xf>
    <xf numFmtId="0" fontId="12" fillId="0" borderId="10" xfId="0" applyFont="1" applyBorder="1"/>
    <xf numFmtId="167" fontId="12" fillId="0" borderId="0" xfId="0" applyNumberFormat="1" applyFont="1"/>
    <xf numFmtId="167" fontId="26" fillId="0" borderId="0" xfId="0" applyNumberFormat="1" applyFont="1"/>
    <xf numFmtId="0" fontId="26" fillId="0" borderId="15" xfId="0" applyFont="1" applyBorder="1"/>
    <xf numFmtId="0" fontId="26" fillId="0" borderId="10" xfId="0" applyFont="1" applyBorder="1"/>
    <xf numFmtId="0" fontId="31" fillId="15" borderId="16" xfId="0" applyFont="1" applyFill="1" applyBorder="1" applyAlignment="1">
      <alignment horizontal="right" wrapText="1"/>
    </xf>
    <xf numFmtId="0" fontId="31" fillId="15" borderId="17" xfId="0" applyFont="1" applyFill="1" applyBorder="1" applyAlignment="1">
      <alignment horizontal="right" wrapText="1"/>
    </xf>
    <xf numFmtId="0" fontId="31" fillId="15" borderId="16" xfId="0" applyFont="1" applyFill="1" applyBorder="1" applyAlignment="1">
      <alignment horizontal="left" vertical="center" wrapText="1"/>
    </xf>
    <xf numFmtId="0" fontId="29" fillId="16" borderId="10" xfId="0" applyFont="1" applyFill="1" applyBorder="1" applyAlignment="1">
      <alignment horizontal="left" vertical="center" wrapText="1"/>
    </xf>
    <xf numFmtId="0" fontId="29" fillId="15" borderId="16" xfId="0" applyFont="1" applyFill="1" applyBorder="1" applyAlignment="1">
      <alignment horizontal="right" wrapText="1"/>
    </xf>
    <xf numFmtId="0" fontId="29" fillId="15" borderId="17" xfId="0" applyFont="1" applyFill="1" applyBorder="1" applyAlignment="1">
      <alignment horizontal="right" wrapText="1"/>
    </xf>
    <xf numFmtId="0" fontId="29" fillId="15" borderId="10" xfId="0" applyFont="1" applyFill="1" applyBorder="1" applyAlignment="1">
      <alignment horizontal="left" vertical="center" wrapText="1"/>
    </xf>
    <xf numFmtId="0" fontId="31" fillId="16" borderId="16" xfId="0" applyFont="1" applyFill="1" applyBorder="1" applyAlignment="1">
      <alignment horizontal="left" vertical="center" wrapText="1"/>
    </xf>
    <xf numFmtId="0" fontId="21" fillId="11" borderId="13" xfId="0" applyFont="1" applyFill="1" applyBorder="1" applyAlignment="1">
      <alignment horizontal="center" vertical="center" wrapText="1"/>
    </xf>
    <xf numFmtId="0" fontId="2" fillId="0" borderId="4" xfId="0" applyFont="1" applyBorder="1" applyAlignment="1">
      <alignment horizontal="left" vertical="top" wrapText="1"/>
    </xf>
    <xf numFmtId="0" fontId="0" fillId="0" borderId="0" xfId="0"/>
    <xf numFmtId="0" fontId="3" fillId="0" borderId="5" xfId="0" applyFont="1" applyBorder="1"/>
    <xf numFmtId="0" fontId="4" fillId="0" borderId="4" xfId="0" applyFont="1" applyBorder="1" applyAlignment="1">
      <alignment horizontal="left" vertical="top" wrapText="1"/>
    </xf>
    <xf numFmtId="0" fontId="30" fillId="15" borderId="18" xfId="0" applyFont="1" applyFill="1" applyBorder="1" applyAlignment="1">
      <alignment horizontal="right" vertical="center" wrapText="1"/>
    </xf>
    <xf numFmtId="0" fontId="30" fillId="15" borderId="19" xfId="0" applyFont="1" applyFill="1" applyBorder="1" applyAlignment="1">
      <alignment horizontal="right" vertical="center" wrapText="1"/>
    </xf>
    <xf numFmtId="0" fontId="29" fillId="15" borderId="16" xfId="0" applyFont="1" applyFill="1" applyBorder="1" applyAlignment="1">
      <alignment horizontal="left" vertical="center" wrapText="1"/>
    </xf>
    <xf numFmtId="0" fontId="29" fillId="15" borderId="19" xfId="0" applyFont="1" applyFill="1" applyBorder="1" applyAlignment="1">
      <alignment horizontal="left" vertical="center" wrapText="1"/>
    </xf>
    <xf numFmtId="0" fontId="32" fillId="15" borderId="16" xfId="0" applyFont="1" applyFill="1" applyBorder="1" applyAlignment="1">
      <alignment horizontal="center" vertical="center" wrapText="1"/>
    </xf>
    <xf numFmtId="0" fontId="32" fillId="15" borderId="19" xfId="0" applyFont="1" applyFill="1" applyBorder="1" applyAlignment="1">
      <alignment horizontal="center" vertical="center" wrapText="1"/>
    </xf>
    <xf numFmtId="0" fontId="29" fillId="15" borderId="16" xfId="0" applyFont="1" applyFill="1" applyBorder="1" applyAlignment="1">
      <alignment horizontal="right" vertical="center" wrapText="1"/>
    </xf>
    <xf numFmtId="0" fontId="29" fillId="15" borderId="19" xfId="0" applyFont="1" applyFill="1" applyBorder="1" applyAlignment="1">
      <alignment horizontal="right" vertical="center" wrapText="1"/>
    </xf>
    <xf numFmtId="0" fontId="30" fillId="15" borderId="16" xfId="0" applyFont="1" applyFill="1" applyBorder="1" applyAlignment="1">
      <alignment horizontal="right" vertical="center" wrapText="1"/>
    </xf>
    <xf numFmtId="0" fontId="31" fillId="15" borderId="16" xfId="0" applyFont="1" applyFill="1" applyBorder="1" applyAlignment="1">
      <alignment horizontal="center" wrapText="1"/>
    </xf>
    <xf numFmtId="0" fontId="31" fillId="15" borderId="17" xfId="0" applyFont="1" applyFill="1" applyBorder="1" applyAlignment="1">
      <alignment horizontal="center" wrapText="1"/>
    </xf>
    <xf numFmtId="0" fontId="29" fillId="15" borderId="16" xfId="0" applyFont="1" applyFill="1" applyBorder="1" applyAlignment="1">
      <alignment horizontal="center" wrapText="1"/>
    </xf>
    <xf numFmtId="0" fontId="29" fillId="15" borderId="17" xfId="0" applyFont="1" applyFill="1" applyBorder="1" applyAlignment="1">
      <alignment horizontal="center" wrapText="1"/>
    </xf>
    <xf numFmtId="0" fontId="29" fillId="15" borderId="16" xfId="0" applyFont="1" applyFill="1" applyBorder="1" applyAlignment="1">
      <alignment horizontal="left" wrapText="1"/>
    </xf>
    <xf numFmtId="0" fontId="29" fillId="15" borderId="17" xfId="0" applyFont="1" applyFill="1" applyBorder="1" applyAlignment="1">
      <alignment horizontal="left" wrapText="1"/>
    </xf>
    <xf numFmtId="0" fontId="30" fillId="15" borderId="16" xfId="0" applyFont="1" applyFill="1" applyBorder="1" applyAlignment="1">
      <alignment horizontal="right" wrapText="1"/>
    </xf>
    <xf numFmtId="0" fontId="30" fillId="15" borderId="17" xfId="0" applyFont="1" applyFill="1" applyBorder="1" applyAlignment="1">
      <alignment horizontal="right" wrapText="1"/>
    </xf>
    <xf numFmtId="0" fontId="31" fillId="15" borderId="18" xfId="0" applyFont="1" applyFill="1" applyBorder="1" applyAlignment="1">
      <alignment horizontal="left" vertical="center" wrapText="1"/>
    </xf>
    <xf numFmtId="0" fontId="31" fillId="15" borderId="19" xfId="0" applyFont="1" applyFill="1" applyBorder="1" applyAlignment="1">
      <alignment horizontal="left" vertical="center" wrapText="1"/>
    </xf>
    <xf numFmtId="0" fontId="32" fillId="15" borderId="18" xfId="0" applyFont="1" applyFill="1" applyBorder="1" applyAlignment="1">
      <alignment horizontal="center" vertical="center" wrapText="1"/>
    </xf>
    <xf numFmtId="0" fontId="29" fillId="15" borderId="18" xfId="0" applyFont="1" applyFill="1" applyBorder="1" applyAlignment="1">
      <alignment horizontal="right" vertical="center" wrapText="1"/>
    </xf>
    <xf numFmtId="0" fontId="29" fillId="15" borderId="16" xfId="0" applyFont="1" applyFill="1" applyBorder="1" applyAlignment="1">
      <alignment vertical="top" wrapText="1"/>
    </xf>
    <xf numFmtId="0" fontId="29" fillId="15" borderId="19" xfId="0" applyFont="1" applyFill="1" applyBorder="1" applyAlignment="1">
      <alignment vertical="top" wrapText="1"/>
    </xf>
    <xf numFmtId="0" fontId="31" fillId="16" borderId="16" xfId="0" applyFont="1" applyFill="1" applyBorder="1" applyAlignment="1">
      <alignment horizontal="left" vertical="center" wrapText="1"/>
    </xf>
    <xf numFmtId="0" fontId="31" fillId="16" borderId="19" xfId="0" applyFont="1" applyFill="1" applyBorder="1" applyAlignment="1">
      <alignment horizontal="left" vertical="center" wrapText="1"/>
    </xf>
    <xf numFmtId="0" fontId="32" fillId="16" borderId="16" xfId="0" applyFont="1" applyFill="1" applyBorder="1" applyAlignment="1">
      <alignment horizontal="center" vertical="center" wrapText="1"/>
    </xf>
    <xf numFmtId="0" fontId="32" fillId="16" borderId="19" xfId="0" applyFont="1" applyFill="1" applyBorder="1" applyAlignment="1">
      <alignment horizontal="center" vertical="center" wrapText="1"/>
    </xf>
    <xf numFmtId="0" fontId="29" fillId="16" borderId="16" xfId="0" applyFont="1" applyFill="1" applyBorder="1" applyAlignment="1">
      <alignment horizontal="right" vertical="center" wrapText="1"/>
    </xf>
    <xf numFmtId="0" fontId="29" fillId="16" borderId="19" xfId="0" applyFont="1" applyFill="1" applyBorder="1" applyAlignment="1">
      <alignment horizontal="right" vertical="center" wrapText="1"/>
    </xf>
    <xf numFmtId="0" fontId="30" fillId="16" borderId="16" xfId="0" applyFont="1" applyFill="1" applyBorder="1" applyAlignment="1">
      <alignment horizontal="right" vertical="center" wrapText="1"/>
    </xf>
    <xf numFmtId="0" fontId="30" fillId="16" borderId="19" xfId="0" applyFont="1" applyFill="1" applyBorder="1" applyAlignment="1">
      <alignment horizontal="right" vertical="center" wrapText="1"/>
    </xf>
    <xf numFmtId="0" fontId="30" fillId="15" borderId="10" xfId="0" applyFont="1" applyFill="1" applyBorder="1" applyAlignment="1">
      <alignment horizontal="right" vertical="center" wrapText="1"/>
    </xf>
    <xf numFmtId="0" fontId="29" fillId="15" borderId="16" xfId="0" applyFont="1" applyFill="1" applyBorder="1" applyAlignment="1">
      <alignment horizontal="right" wrapText="1"/>
    </xf>
    <xf numFmtId="0" fontId="29" fillId="15" borderId="17" xfId="0" applyFont="1" applyFill="1" applyBorder="1" applyAlignment="1">
      <alignment horizontal="right" wrapText="1"/>
    </xf>
    <xf numFmtId="0" fontId="29" fillId="15" borderId="10" xfId="0" applyFont="1" applyFill="1" applyBorder="1" applyAlignment="1">
      <alignment horizontal="left" vertical="center" wrapText="1"/>
    </xf>
    <xf numFmtId="0" fontId="29" fillId="15" borderId="10" xfId="0" applyFont="1" applyFill="1" applyBorder="1" applyAlignment="1">
      <alignment vertical="top" wrapText="1"/>
    </xf>
    <xf numFmtId="0" fontId="29" fillId="15" borderId="10" xfId="0" applyFont="1" applyFill="1" applyBorder="1" applyAlignment="1">
      <alignment horizontal="right" vertical="center" wrapText="1"/>
    </xf>
    <xf numFmtId="0" fontId="21" fillId="11" borderId="13" xfId="0" applyFont="1" applyFill="1" applyBorder="1" applyAlignment="1">
      <alignment horizontal="center" vertical="center" wrapText="1"/>
    </xf>
  </cellXfs>
  <cellStyles count="4">
    <cellStyle name="Comma" xfId="1" builtinId="3"/>
    <cellStyle name="Currency" xfId="2" builtinId="4"/>
    <cellStyle name="Hyperlink" xfId="3" builtinId="8"/>
    <cellStyle name="Normal" xfId="0" builtinId="0"/>
  </cellStyles>
  <dxfs count="12">
    <dxf>
      <font>
        <color theme="7"/>
      </font>
      <fill>
        <patternFill>
          <bgColor theme="7" tint="0.89996032593768116"/>
        </patternFill>
      </fill>
    </dxf>
    <dxf>
      <font>
        <color rgb="FF9C6500"/>
      </font>
      <fill>
        <patternFill patternType="solid">
          <fgColor rgb="FFFFEB9C"/>
          <bgColor rgb="FFFFEB9C"/>
        </patternFill>
      </fill>
    </dxf>
    <dxf>
      <font>
        <color rgb="FF006100"/>
      </font>
      <fill>
        <patternFill patternType="solid">
          <fgColor rgb="FFC6EFCE"/>
          <bgColor rgb="FFC6EFCE"/>
        </patternFill>
      </fill>
    </dxf>
    <dxf>
      <font>
        <color rgb="FF9C0006"/>
      </font>
      <fill>
        <patternFill patternType="solid">
          <fgColor rgb="FFFFC7CE"/>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ill>
        <patternFill patternType="solid">
          <fgColor rgb="FFB7E1CD"/>
          <bgColor rgb="FFB7E1CD"/>
        </patternFill>
      </fill>
    </dxf>
    <dxf>
      <fill>
        <patternFill patternType="solid">
          <fgColor rgb="FFB7E1CD"/>
          <bgColor rgb="FFB7E1CD"/>
        </patternFill>
      </fill>
    </dxf>
    <dxf>
      <font>
        <color rgb="FF006100"/>
      </font>
      <fill>
        <patternFill>
          <bgColor rgb="FFC6EFCE"/>
        </patternFill>
      </fill>
    </dxf>
    <dxf>
      <font>
        <color rgb="FF9C0006"/>
      </font>
      <fill>
        <patternFill>
          <bgColor rgb="FFFFC7CE"/>
        </patternFill>
      </fill>
    </dxf>
  </dxfs>
  <tableStyles count="0" defaultTableStyle="TableStyleMedium2" defaultPivotStyle="PivotStyleLight16"/>
  <colors>
    <mruColors>
      <color rgb="FFFFCC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t>Number</a:t>
            </a:r>
            <a:r>
              <a:rPr lang="en-US" baseline="0"/>
              <a:t> of points</a:t>
            </a:r>
            <a:endParaRPr lang="en-US"/>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31"/>
          <c:order val="31"/>
          <c:tx>
            <c:strRef>
              <c:f>Stats!$AJ$8</c:f>
              <c:strCache>
                <c:ptCount val="1"/>
                <c:pt idx="0">
                  <c:v>GW32</c:v>
                </c:pt>
              </c:strCache>
              <c:extLst xmlns:c15="http://schemas.microsoft.com/office/drawing/2012/chart"/>
            </c:strRef>
          </c:tx>
          <c:spPr>
            <a:gradFill rotWithShape="1">
              <a:gsLst>
                <a:gs pos="0">
                  <a:schemeClr val="accent2">
                    <a:lumMod val="50000"/>
                    <a:satMod val="103000"/>
                    <a:lumMod val="102000"/>
                    <a:tint val="94000"/>
                  </a:schemeClr>
                </a:gs>
                <a:gs pos="50000">
                  <a:schemeClr val="accent2">
                    <a:lumMod val="50000"/>
                    <a:satMod val="110000"/>
                    <a:lumMod val="100000"/>
                    <a:shade val="100000"/>
                  </a:schemeClr>
                </a:gs>
                <a:gs pos="100000">
                  <a:schemeClr val="accent2">
                    <a:lumMod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Stats!$C$9:$C$25</c:f>
              <c:strCache>
                <c:ptCount val="17"/>
                <c:pt idx="0">
                  <c:v>Learnmore Ntshangase</c:v>
                </c:pt>
                <c:pt idx="1">
                  <c:v>Fanele Msweli</c:v>
                </c:pt>
                <c:pt idx="2">
                  <c:v>Lethu Mkhwanazi</c:v>
                </c:pt>
                <c:pt idx="3">
                  <c:v>Mhlengi Kunene</c:v>
                </c:pt>
                <c:pt idx="4">
                  <c:v>Minenhle Khumalo</c:v>
                </c:pt>
                <c:pt idx="5">
                  <c:v>Nhlakanipho Ntombela</c:v>
                </c:pt>
                <c:pt idx="6">
                  <c:v>Mtho Mabizela</c:v>
                </c:pt>
                <c:pt idx="7">
                  <c:v>Siyanda Ndaba</c:v>
                </c:pt>
                <c:pt idx="8">
                  <c:v>President Gamede</c:v>
                </c:pt>
                <c:pt idx="9">
                  <c:v>Luthando Ngidi</c:v>
                </c:pt>
                <c:pt idx="10">
                  <c:v>Kudzai Kupeta</c:v>
                </c:pt>
                <c:pt idx="11">
                  <c:v>Thembalethu Miya</c:v>
                </c:pt>
                <c:pt idx="12">
                  <c:v>Nkosi The Chef</c:v>
                </c:pt>
                <c:pt idx="13">
                  <c:v>Sthe Coqueto</c:v>
                </c:pt>
                <c:pt idx="14">
                  <c:v>Bheka Bhengu</c:v>
                </c:pt>
                <c:pt idx="15">
                  <c:v>Thato Choshi</c:v>
                </c:pt>
                <c:pt idx="16">
                  <c:v>Mbuyi Katumba</c:v>
                </c:pt>
              </c:strCache>
            </c:strRef>
          </c:cat>
          <c:val>
            <c:numRef>
              <c:f>Stats!$AJ$9:$AJ$25</c:f>
              <c:numCache>
                <c:formatCode>_-* #\ ##0_-;\-* #\ ##0_-;_-* "-"??_-;_-@_-</c:formatCode>
                <c:ptCount val="17"/>
                <c:pt idx="0">
                  <c:v>45</c:v>
                </c:pt>
                <c:pt idx="1">
                  <c:v>59</c:v>
                </c:pt>
                <c:pt idx="2">
                  <c:v>41</c:v>
                </c:pt>
                <c:pt idx="3">
                  <c:v>66</c:v>
                </c:pt>
                <c:pt idx="4">
                  <c:v>42</c:v>
                </c:pt>
                <c:pt idx="5">
                  <c:v>65</c:v>
                </c:pt>
                <c:pt idx="6">
                  <c:v>52</c:v>
                </c:pt>
                <c:pt idx="7">
                  <c:v>44</c:v>
                </c:pt>
                <c:pt idx="8">
                  <c:v>61</c:v>
                </c:pt>
                <c:pt idx="9">
                  <c:v>50</c:v>
                </c:pt>
                <c:pt idx="10">
                  <c:v>66</c:v>
                </c:pt>
                <c:pt idx="11">
                  <c:v>66</c:v>
                </c:pt>
                <c:pt idx="12">
                  <c:v>58</c:v>
                </c:pt>
                <c:pt idx="13">
                  <c:v>78</c:v>
                </c:pt>
                <c:pt idx="14">
                  <c:v>66</c:v>
                </c:pt>
                <c:pt idx="15">
                  <c:v>52</c:v>
                </c:pt>
                <c:pt idx="16">
                  <c:v>58</c:v>
                </c:pt>
              </c:numCache>
              <c:extLst xmlns:c15="http://schemas.microsoft.com/office/drawing/2012/chart"/>
            </c:numRef>
          </c:val>
          <c:extLst xmlns:c15="http://schemas.microsoft.com/office/drawing/2012/chart">
            <c:ext xmlns:c16="http://schemas.microsoft.com/office/drawing/2014/chart" uri="{C3380CC4-5D6E-409C-BE32-E72D297353CC}">
              <c16:uniqueId val="{0000001F-FF95-4DA8-A0CB-089FB7B8DF47}"/>
            </c:ext>
          </c:extLst>
        </c:ser>
        <c:ser>
          <c:idx val="32"/>
          <c:order val="32"/>
          <c:tx>
            <c:strRef>
              <c:f>Stats!$AK$8</c:f>
              <c:strCache>
                <c:ptCount val="1"/>
                <c:pt idx="0">
                  <c:v>GW33</c:v>
                </c:pt>
              </c:strCache>
              <c:extLst xmlns:c15="http://schemas.microsoft.com/office/drawing/2012/chart"/>
            </c:strRef>
          </c:tx>
          <c:spPr>
            <a:gradFill rotWithShape="1">
              <a:gsLst>
                <a:gs pos="0">
                  <a:schemeClr val="accent3">
                    <a:lumMod val="50000"/>
                    <a:satMod val="103000"/>
                    <a:lumMod val="102000"/>
                    <a:tint val="94000"/>
                  </a:schemeClr>
                </a:gs>
                <a:gs pos="50000">
                  <a:schemeClr val="accent3">
                    <a:lumMod val="50000"/>
                    <a:satMod val="110000"/>
                    <a:lumMod val="100000"/>
                    <a:shade val="100000"/>
                  </a:schemeClr>
                </a:gs>
                <a:gs pos="100000">
                  <a:schemeClr val="accent3">
                    <a:lumMod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Stats!$C$9:$C$25</c:f>
              <c:strCache>
                <c:ptCount val="17"/>
                <c:pt idx="0">
                  <c:v>Learnmore Ntshangase</c:v>
                </c:pt>
                <c:pt idx="1">
                  <c:v>Fanele Msweli</c:v>
                </c:pt>
                <c:pt idx="2">
                  <c:v>Lethu Mkhwanazi</c:v>
                </c:pt>
                <c:pt idx="3">
                  <c:v>Mhlengi Kunene</c:v>
                </c:pt>
                <c:pt idx="4">
                  <c:v>Minenhle Khumalo</c:v>
                </c:pt>
                <c:pt idx="5">
                  <c:v>Nhlakanipho Ntombela</c:v>
                </c:pt>
                <c:pt idx="6">
                  <c:v>Mtho Mabizela</c:v>
                </c:pt>
                <c:pt idx="7">
                  <c:v>Siyanda Ndaba</c:v>
                </c:pt>
                <c:pt idx="8">
                  <c:v>President Gamede</c:v>
                </c:pt>
                <c:pt idx="9">
                  <c:v>Luthando Ngidi</c:v>
                </c:pt>
                <c:pt idx="10">
                  <c:v>Kudzai Kupeta</c:v>
                </c:pt>
                <c:pt idx="11">
                  <c:v>Thembalethu Miya</c:v>
                </c:pt>
                <c:pt idx="12">
                  <c:v>Nkosi The Chef</c:v>
                </c:pt>
                <c:pt idx="13">
                  <c:v>Sthe Coqueto</c:v>
                </c:pt>
                <c:pt idx="14">
                  <c:v>Bheka Bhengu</c:v>
                </c:pt>
                <c:pt idx="15">
                  <c:v>Thato Choshi</c:v>
                </c:pt>
                <c:pt idx="16">
                  <c:v>Mbuyi Katumba</c:v>
                </c:pt>
              </c:strCache>
              <c:extLst xmlns:c15="http://schemas.microsoft.com/office/drawing/2012/chart"/>
            </c:strRef>
          </c:cat>
          <c:val>
            <c:numRef>
              <c:f>Stats!$AK$9:$AK$25</c:f>
              <c:numCache>
                <c:formatCode>_-* #\ ##0_-;\-* #\ ##0_-;_-* "-"??_-;_-@_-</c:formatCode>
                <c:ptCount val="17"/>
                <c:pt idx="0">
                  <c:v>78</c:v>
                </c:pt>
                <c:pt idx="1">
                  <c:v>52</c:v>
                </c:pt>
                <c:pt idx="2">
                  <c:v>87</c:v>
                </c:pt>
                <c:pt idx="3">
                  <c:v>115</c:v>
                </c:pt>
                <c:pt idx="4">
                  <c:v>83</c:v>
                </c:pt>
                <c:pt idx="5">
                  <c:v>121</c:v>
                </c:pt>
                <c:pt idx="6">
                  <c:v>82</c:v>
                </c:pt>
                <c:pt idx="7">
                  <c:v>112</c:v>
                </c:pt>
                <c:pt idx="8">
                  <c:v>74</c:v>
                </c:pt>
                <c:pt idx="9">
                  <c:v>91</c:v>
                </c:pt>
                <c:pt idx="10">
                  <c:v>67</c:v>
                </c:pt>
                <c:pt idx="11">
                  <c:v>80</c:v>
                </c:pt>
                <c:pt idx="12">
                  <c:v>134</c:v>
                </c:pt>
                <c:pt idx="13">
                  <c:v>64</c:v>
                </c:pt>
                <c:pt idx="14">
                  <c:v>90</c:v>
                </c:pt>
                <c:pt idx="15">
                  <c:v>107</c:v>
                </c:pt>
                <c:pt idx="16">
                  <c:v>109</c:v>
                </c:pt>
              </c:numCache>
              <c:extLst xmlns:c15="http://schemas.microsoft.com/office/drawing/2012/chart"/>
            </c:numRef>
          </c:val>
          <c:extLst xmlns:c15="http://schemas.microsoft.com/office/drawing/2012/chart">
            <c:ext xmlns:c16="http://schemas.microsoft.com/office/drawing/2014/chart" uri="{C3380CC4-5D6E-409C-BE32-E72D297353CC}">
              <c16:uniqueId val="{00000020-FF95-4DA8-A0CB-089FB7B8DF47}"/>
            </c:ext>
          </c:extLst>
        </c:ser>
        <c:ser>
          <c:idx val="33"/>
          <c:order val="33"/>
          <c:tx>
            <c:strRef>
              <c:f>Stats!$AL$8</c:f>
              <c:strCache>
                <c:ptCount val="1"/>
                <c:pt idx="0">
                  <c:v>GW34</c:v>
                </c:pt>
              </c:strCache>
              <c:extLst xmlns:c15="http://schemas.microsoft.com/office/drawing/2012/chart"/>
            </c:strRef>
          </c:tx>
          <c:spPr>
            <a:gradFill rotWithShape="1">
              <a:gsLst>
                <a:gs pos="0">
                  <a:schemeClr val="accent4">
                    <a:lumMod val="50000"/>
                    <a:satMod val="103000"/>
                    <a:lumMod val="102000"/>
                    <a:tint val="94000"/>
                  </a:schemeClr>
                </a:gs>
                <a:gs pos="50000">
                  <a:schemeClr val="accent4">
                    <a:lumMod val="50000"/>
                    <a:satMod val="110000"/>
                    <a:lumMod val="100000"/>
                    <a:shade val="100000"/>
                  </a:schemeClr>
                </a:gs>
                <a:gs pos="100000">
                  <a:schemeClr val="accent4">
                    <a:lumMod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Stats!$C$9:$C$25</c:f>
              <c:strCache>
                <c:ptCount val="17"/>
                <c:pt idx="0">
                  <c:v>Learnmore Ntshangase</c:v>
                </c:pt>
                <c:pt idx="1">
                  <c:v>Fanele Msweli</c:v>
                </c:pt>
                <c:pt idx="2">
                  <c:v>Lethu Mkhwanazi</c:v>
                </c:pt>
                <c:pt idx="3">
                  <c:v>Mhlengi Kunene</c:v>
                </c:pt>
                <c:pt idx="4">
                  <c:v>Minenhle Khumalo</c:v>
                </c:pt>
                <c:pt idx="5">
                  <c:v>Nhlakanipho Ntombela</c:v>
                </c:pt>
                <c:pt idx="6">
                  <c:v>Mtho Mabizela</c:v>
                </c:pt>
                <c:pt idx="7">
                  <c:v>Siyanda Ndaba</c:v>
                </c:pt>
                <c:pt idx="8">
                  <c:v>President Gamede</c:v>
                </c:pt>
                <c:pt idx="9">
                  <c:v>Luthando Ngidi</c:v>
                </c:pt>
                <c:pt idx="10">
                  <c:v>Kudzai Kupeta</c:v>
                </c:pt>
                <c:pt idx="11">
                  <c:v>Thembalethu Miya</c:v>
                </c:pt>
                <c:pt idx="12">
                  <c:v>Nkosi The Chef</c:v>
                </c:pt>
                <c:pt idx="13">
                  <c:v>Sthe Coqueto</c:v>
                </c:pt>
                <c:pt idx="14">
                  <c:v>Bheka Bhengu</c:v>
                </c:pt>
                <c:pt idx="15">
                  <c:v>Thato Choshi</c:v>
                </c:pt>
                <c:pt idx="16">
                  <c:v>Mbuyi Katumba</c:v>
                </c:pt>
              </c:strCache>
              <c:extLst xmlns:c15="http://schemas.microsoft.com/office/drawing/2012/chart"/>
            </c:strRef>
          </c:cat>
          <c:val>
            <c:numRef>
              <c:f>Stats!$AL$9:$AL$25</c:f>
              <c:numCache>
                <c:formatCode>_-* #\ ##0_-;\-* #\ ##0_-;_-* "-"??_-;_-@_-</c:formatCode>
                <c:ptCount val="17"/>
                <c:pt idx="0">
                  <c:v>51</c:v>
                </c:pt>
                <c:pt idx="1">
                  <c:v>74</c:v>
                </c:pt>
                <c:pt idx="2">
                  <c:v>41</c:v>
                </c:pt>
                <c:pt idx="3">
                  <c:v>65</c:v>
                </c:pt>
                <c:pt idx="4">
                  <c:v>45</c:v>
                </c:pt>
                <c:pt idx="5">
                  <c:v>56</c:v>
                </c:pt>
                <c:pt idx="6">
                  <c:v>46</c:v>
                </c:pt>
                <c:pt idx="7">
                  <c:v>71</c:v>
                </c:pt>
                <c:pt idx="8">
                  <c:v>22</c:v>
                </c:pt>
                <c:pt idx="9">
                  <c:v>58</c:v>
                </c:pt>
                <c:pt idx="10">
                  <c:v>55</c:v>
                </c:pt>
                <c:pt idx="11">
                  <c:v>52</c:v>
                </c:pt>
                <c:pt idx="12">
                  <c:v>60</c:v>
                </c:pt>
                <c:pt idx="13">
                  <c:v>38</c:v>
                </c:pt>
                <c:pt idx="14">
                  <c:v>35</c:v>
                </c:pt>
                <c:pt idx="15">
                  <c:v>61</c:v>
                </c:pt>
                <c:pt idx="16">
                  <c:v>56</c:v>
                </c:pt>
              </c:numCache>
              <c:extLst xmlns:c15="http://schemas.microsoft.com/office/drawing/2012/chart"/>
            </c:numRef>
          </c:val>
          <c:extLst xmlns:c15="http://schemas.microsoft.com/office/drawing/2012/chart">
            <c:ext xmlns:c16="http://schemas.microsoft.com/office/drawing/2014/chart" uri="{C3380CC4-5D6E-409C-BE32-E72D297353CC}">
              <c16:uniqueId val="{00000021-FF95-4DA8-A0CB-089FB7B8DF47}"/>
            </c:ext>
          </c:extLst>
        </c:ser>
        <c:dLbls>
          <c:showLegendKey val="0"/>
          <c:showVal val="0"/>
          <c:showCatName val="0"/>
          <c:showSerName val="0"/>
          <c:showPercent val="0"/>
          <c:showBubbleSize val="0"/>
        </c:dLbls>
        <c:gapWidth val="100"/>
        <c:overlap val="-24"/>
        <c:axId val="1464076000"/>
        <c:axId val="1464076480"/>
        <c:extLst>
          <c:ext xmlns:c15="http://schemas.microsoft.com/office/drawing/2012/chart" uri="{02D57815-91ED-43cb-92C2-25804820EDAC}">
            <c15:filteredBarSeries>
              <c15:ser>
                <c:idx val="0"/>
                <c:order val="0"/>
                <c:tx>
                  <c:strRef>
                    <c:extLst>
                      <c:ext uri="{02D57815-91ED-43cb-92C2-25804820EDAC}">
                        <c15:formulaRef>
                          <c15:sqref>Stats!$E$8</c15:sqref>
                        </c15:formulaRef>
                      </c:ext>
                    </c:extLst>
                    <c:strCache>
                      <c:ptCount val="1"/>
                      <c:pt idx="0">
                        <c:v>GW1</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extLst>
                      <c:ext uri="{02D57815-91ED-43cb-92C2-25804820EDAC}">
                        <c15:formulaRef>
                          <c15:sqref>Stats!$C$9:$C$25</c15:sqref>
                        </c15:formulaRef>
                      </c:ext>
                    </c:extLst>
                    <c:strCache>
                      <c:ptCount val="17"/>
                      <c:pt idx="0">
                        <c:v>Learnmore Ntshangase</c:v>
                      </c:pt>
                      <c:pt idx="1">
                        <c:v>Fanele Msweli</c:v>
                      </c:pt>
                      <c:pt idx="2">
                        <c:v>Lethu Mkhwanazi</c:v>
                      </c:pt>
                      <c:pt idx="3">
                        <c:v>Mhlengi Kunene</c:v>
                      </c:pt>
                      <c:pt idx="4">
                        <c:v>Minenhle Khumalo</c:v>
                      </c:pt>
                      <c:pt idx="5">
                        <c:v>Nhlakanipho Ntombela</c:v>
                      </c:pt>
                      <c:pt idx="6">
                        <c:v>Mtho Mabizela</c:v>
                      </c:pt>
                      <c:pt idx="7">
                        <c:v>Siyanda Ndaba</c:v>
                      </c:pt>
                      <c:pt idx="8">
                        <c:v>President Gamede</c:v>
                      </c:pt>
                      <c:pt idx="9">
                        <c:v>Luthando Ngidi</c:v>
                      </c:pt>
                      <c:pt idx="10">
                        <c:v>Kudzai Kupeta</c:v>
                      </c:pt>
                      <c:pt idx="11">
                        <c:v>Thembalethu Miya</c:v>
                      </c:pt>
                      <c:pt idx="12">
                        <c:v>Nkosi The Chef</c:v>
                      </c:pt>
                      <c:pt idx="13">
                        <c:v>Sthe Coqueto</c:v>
                      </c:pt>
                      <c:pt idx="14">
                        <c:v>Bheka Bhengu</c:v>
                      </c:pt>
                      <c:pt idx="15">
                        <c:v>Thato Choshi</c:v>
                      </c:pt>
                      <c:pt idx="16">
                        <c:v>Mbuyi Katumba</c:v>
                      </c:pt>
                    </c:strCache>
                  </c:strRef>
                </c:cat>
                <c:val>
                  <c:numRef>
                    <c:extLst>
                      <c:ext uri="{02D57815-91ED-43cb-92C2-25804820EDAC}">
                        <c15:formulaRef>
                          <c15:sqref>Stats!$E$9:$E$25</c15:sqref>
                        </c15:formulaRef>
                      </c:ext>
                    </c:extLst>
                    <c:numCache>
                      <c:formatCode>_-* #\ ##0_-;\-* #\ ##0_-;_-* "-"??_-;_-@_-</c:formatCode>
                      <c:ptCount val="17"/>
                      <c:pt idx="0">
                        <c:v>47</c:v>
                      </c:pt>
                      <c:pt idx="1">
                        <c:v>64</c:v>
                      </c:pt>
                      <c:pt idx="2">
                        <c:v>43</c:v>
                      </c:pt>
                      <c:pt idx="3">
                        <c:v>62</c:v>
                      </c:pt>
                      <c:pt idx="4">
                        <c:v>43</c:v>
                      </c:pt>
                      <c:pt idx="5">
                        <c:v>55</c:v>
                      </c:pt>
                      <c:pt idx="6">
                        <c:v>58</c:v>
                      </c:pt>
                      <c:pt idx="7">
                        <c:v>56</c:v>
                      </c:pt>
                      <c:pt idx="8">
                        <c:v>56</c:v>
                      </c:pt>
                      <c:pt idx="9">
                        <c:v>63</c:v>
                      </c:pt>
                      <c:pt idx="10">
                        <c:v>50</c:v>
                      </c:pt>
                      <c:pt idx="11">
                        <c:v>52</c:v>
                      </c:pt>
                      <c:pt idx="12">
                        <c:v>63</c:v>
                      </c:pt>
                      <c:pt idx="13">
                        <c:v>34</c:v>
                      </c:pt>
                      <c:pt idx="14">
                        <c:v>68</c:v>
                      </c:pt>
                      <c:pt idx="15">
                        <c:v>55</c:v>
                      </c:pt>
                      <c:pt idx="16">
                        <c:v>66</c:v>
                      </c:pt>
                    </c:numCache>
                  </c:numRef>
                </c:val>
                <c:extLst>
                  <c:ext xmlns:c16="http://schemas.microsoft.com/office/drawing/2014/chart" uri="{C3380CC4-5D6E-409C-BE32-E72D297353CC}">
                    <c16:uniqueId val="{00000000-FF95-4DA8-A0CB-089FB7B8DF47}"/>
                  </c:ext>
                </c:extLst>
              </c15:ser>
            </c15:filteredBarSeries>
            <c15:filteredBarSeries>
              <c15:ser>
                <c:idx val="1"/>
                <c:order val="1"/>
                <c:tx>
                  <c:strRef>
                    <c:extLst xmlns:c15="http://schemas.microsoft.com/office/drawing/2012/chart">
                      <c:ext xmlns:c15="http://schemas.microsoft.com/office/drawing/2012/chart" uri="{02D57815-91ED-43cb-92C2-25804820EDAC}">
                        <c15:formulaRef>
                          <c15:sqref>Stats!$F$8</c15:sqref>
                        </c15:formulaRef>
                      </c:ext>
                    </c:extLst>
                    <c:strCache>
                      <c:ptCount val="1"/>
                      <c:pt idx="0">
                        <c:v>GW2</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extLst xmlns:c15="http://schemas.microsoft.com/office/drawing/2012/chart">
                      <c:ext xmlns:c15="http://schemas.microsoft.com/office/drawing/2012/chart" uri="{02D57815-91ED-43cb-92C2-25804820EDAC}">
                        <c15:formulaRef>
                          <c15:sqref>Stats!$C$9:$C$25</c15:sqref>
                        </c15:formulaRef>
                      </c:ext>
                    </c:extLst>
                    <c:strCache>
                      <c:ptCount val="17"/>
                      <c:pt idx="0">
                        <c:v>Learnmore Ntshangase</c:v>
                      </c:pt>
                      <c:pt idx="1">
                        <c:v>Fanele Msweli</c:v>
                      </c:pt>
                      <c:pt idx="2">
                        <c:v>Lethu Mkhwanazi</c:v>
                      </c:pt>
                      <c:pt idx="3">
                        <c:v>Mhlengi Kunene</c:v>
                      </c:pt>
                      <c:pt idx="4">
                        <c:v>Minenhle Khumalo</c:v>
                      </c:pt>
                      <c:pt idx="5">
                        <c:v>Nhlakanipho Ntombela</c:v>
                      </c:pt>
                      <c:pt idx="6">
                        <c:v>Mtho Mabizela</c:v>
                      </c:pt>
                      <c:pt idx="7">
                        <c:v>Siyanda Ndaba</c:v>
                      </c:pt>
                      <c:pt idx="8">
                        <c:v>President Gamede</c:v>
                      </c:pt>
                      <c:pt idx="9">
                        <c:v>Luthando Ngidi</c:v>
                      </c:pt>
                      <c:pt idx="10">
                        <c:v>Kudzai Kupeta</c:v>
                      </c:pt>
                      <c:pt idx="11">
                        <c:v>Thembalethu Miya</c:v>
                      </c:pt>
                      <c:pt idx="12">
                        <c:v>Nkosi The Chef</c:v>
                      </c:pt>
                      <c:pt idx="13">
                        <c:v>Sthe Coqueto</c:v>
                      </c:pt>
                      <c:pt idx="14">
                        <c:v>Bheka Bhengu</c:v>
                      </c:pt>
                      <c:pt idx="15">
                        <c:v>Thato Choshi</c:v>
                      </c:pt>
                      <c:pt idx="16">
                        <c:v>Mbuyi Katumba</c:v>
                      </c:pt>
                    </c:strCache>
                  </c:strRef>
                </c:cat>
                <c:val>
                  <c:numRef>
                    <c:extLst xmlns:c15="http://schemas.microsoft.com/office/drawing/2012/chart">
                      <c:ext xmlns:c15="http://schemas.microsoft.com/office/drawing/2012/chart" uri="{02D57815-91ED-43cb-92C2-25804820EDAC}">
                        <c15:formulaRef>
                          <c15:sqref>Stats!$F$9:$F$25</c15:sqref>
                        </c15:formulaRef>
                      </c:ext>
                    </c:extLst>
                    <c:numCache>
                      <c:formatCode>_-* #\ ##0_-;\-* #\ ##0_-;_-* "-"??_-;_-@_-</c:formatCode>
                      <c:ptCount val="17"/>
                      <c:pt idx="0">
                        <c:v>47</c:v>
                      </c:pt>
                      <c:pt idx="1">
                        <c:v>54</c:v>
                      </c:pt>
                      <c:pt idx="2">
                        <c:v>39</c:v>
                      </c:pt>
                      <c:pt idx="3">
                        <c:v>37</c:v>
                      </c:pt>
                      <c:pt idx="4">
                        <c:v>42</c:v>
                      </c:pt>
                      <c:pt idx="5">
                        <c:v>53</c:v>
                      </c:pt>
                      <c:pt idx="6">
                        <c:v>45</c:v>
                      </c:pt>
                      <c:pt idx="7">
                        <c:v>60</c:v>
                      </c:pt>
                      <c:pt idx="8">
                        <c:v>49</c:v>
                      </c:pt>
                      <c:pt idx="9">
                        <c:v>53</c:v>
                      </c:pt>
                      <c:pt idx="10">
                        <c:v>64</c:v>
                      </c:pt>
                      <c:pt idx="11">
                        <c:v>38</c:v>
                      </c:pt>
                      <c:pt idx="12">
                        <c:v>52</c:v>
                      </c:pt>
                      <c:pt idx="13">
                        <c:v>35</c:v>
                      </c:pt>
                      <c:pt idx="14">
                        <c:v>48</c:v>
                      </c:pt>
                      <c:pt idx="15">
                        <c:v>52</c:v>
                      </c:pt>
                      <c:pt idx="16">
                        <c:v>54</c:v>
                      </c:pt>
                    </c:numCache>
                  </c:numRef>
                </c:val>
                <c:extLst xmlns:c15="http://schemas.microsoft.com/office/drawing/2012/chart">
                  <c:ext xmlns:c16="http://schemas.microsoft.com/office/drawing/2014/chart" uri="{C3380CC4-5D6E-409C-BE32-E72D297353CC}">
                    <c16:uniqueId val="{00000001-FF95-4DA8-A0CB-089FB7B8DF47}"/>
                  </c:ext>
                </c:extLst>
              </c15:ser>
            </c15:filteredBarSeries>
            <c15:filteredBarSeries>
              <c15:ser>
                <c:idx val="2"/>
                <c:order val="2"/>
                <c:tx>
                  <c:strRef>
                    <c:extLst xmlns:c15="http://schemas.microsoft.com/office/drawing/2012/chart">
                      <c:ext xmlns:c15="http://schemas.microsoft.com/office/drawing/2012/chart" uri="{02D57815-91ED-43cb-92C2-25804820EDAC}">
                        <c15:formulaRef>
                          <c15:sqref>Stats!$G$8</c15:sqref>
                        </c15:formulaRef>
                      </c:ext>
                    </c:extLst>
                    <c:strCache>
                      <c:ptCount val="1"/>
                      <c:pt idx="0">
                        <c:v>GW3</c:v>
                      </c:pt>
                    </c:strCache>
                  </c:strRef>
                </c:tx>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extLst xmlns:c15="http://schemas.microsoft.com/office/drawing/2012/chart">
                      <c:ext xmlns:c15="http://schemas.microsoft.com/office/drawing/2012/chart" uri="{02D57815-91ED-43cb-92C2-25804820EDAC}">
                        <c15:formulaRef>
                          <c15:sqref>Stats!$C$9:$C$25</c15:sqref>
                        </c15:formulaRef>
                      </c:ext>
                    </c:extLst>
                    <c:strCache>
                      <c:ptCount val="17"/>
                      <c:pt idx="0">
                        <c:v>Learnmore Ntshangase</c:v>
                      </c:pt>
                      <c:pt idx="1">
                        <c:v>Fanele Msweli</c:v>
                      </c:pt>
                      <c:pt idx="2">
                        <c:v>Lethu Mkhwanazi</c:v>
                      </c:pt>
                      <c:pt idx="3">
                        <c:v>Mhlengi Kunene</c:v>
                      </c:pt>
                      <c:pt idx="4">
                        <c:v>Minenhle Khumalo</c:v>
                      </c:pt>
                      <c:pt idx="5">
                        <c:v>Nhlakanipho Ntombela</c:v>
                      </c:pt>
                      <c:pt idx="6">
                        <c:v>Mtho Mabizela</c:v>
                      </c:pt>
                      <c:pt idx="7">
                        <c:v>Siyanda Ndaba</c:v>
                      </c:pt>
                      <c:pt idx="8">
                        <c:v>President Gamede</c:v>
                      </c:pt>
                      <c:pt idx="9">
                        <c:v>Luthando Ngidi</c:v>
                      </c:pt>
                      <c:pt idx="10">
                        <c:v>Kudzai Kupeta</c:v>
                      </c:pt>
                      <c:pt idx="11">
                        <c:v>Thembalethu Miya</c:v>
                      </c:pt>
                      <c:pt idx="12">
                        <c:v>Nkosi The Chef</c:v>
                      </c:pt>
                      <c:pt idx="13">
                        <c:v>Sthe Coqueto</c:v>
                      </c:pt>
                      <c:pt idx="14">
                        <c:v>Bheka Bhengu</c:v>
                      </c:pt>
                      <c:pt idx="15">
                        <c:v>Thato Choshi</c:v>
                      </c:pt>
                      <c:pt idx="16">
                        <c:v>Mbuyi Katumba</c:v>
                      </c:pt>
                    </c:strCache>
                  </c:strRef>
                </c:cat>
                <c:val>
                  <c:numRef>
                    <c:extLst xmlns:c15="http://schemas.microsoft.com/office/drawing/2012/chart">
                      <c:ext xmlns:c15="http://schemas.microsoft.com/office/drawing/2012/chart" uri="{02D57815-91ED-43cb-92C2-25804820EDAC}">
                        <c15:formulaRef>
                          <c15:sqref>Stats!$G$9:$G$25</c15:sqref>
                        </c15:formulaRef>
                      </c:ext>
                    </c:extLst>
                    <c:numCache>
                      <c:formatCode>_-* #\ ##0_-;\-* #\ ##0_-;_-* "-"??_-;_-@_-</c:formatCode>
                      <c:ptCount val="17"/>
                      <c:pt idx="0">
                        <c:v>50</c:v>
                      </c:pt>
                      <c:pt idx="1">
                        <c:v>52</c:v>
                      </c:pt>
                      <c:pt idx="2">
                        <c:v>70</c:v>
                      </c:pt>
                      <c:pt idx="3">
                        <c:v>56</c:v>
                      </c:pt>
                      <c:pt idx="4">
                        <c:v>34</c:v>
                      </c:pt>
                      <c:pt idx="5">
                        <c:v>44</c:v>
                      </c:pt>
                      <c:pt idx="6">
                        <c:v>41</c:v>
                      </c:pt>
                      <c:pt idx="7">
                        <c:v>47</c:v>
                      </c:pt>
                      <c:pt idx="8">
                        <c:v>50</c:v>
                      </c:pt>
                      <c:pt idx="9">
                        <c:v>46</c:v>
                      </c:pt>
                      <c:pt idx="10">
                        <c:v>36</c:v>
                      </c:pt>
                      <c:pt idx="11">
                        <c:v>35</c:v>
                      </c:pt>
                      <c:pt idx="12">
                        <c:v>43</c:v>
                      </c:pt>
                      <c:pt idx="13">
                        <c:v>54</c:v>
                      </c:pt>
                      <c:pt idx="14">
                        <c:v>55</c:v>
                      </c:pt>
                      <c:pt idx="15">
                        <c:v>45</c:v>
                      </c:pt>
                      <c:pt idx="16">
                        <c:v>46</c:v>
                      </c:pt>
                    </c:numCache>
                  </c:numRef>
                </c:val>
                <c:extLst xmlns:c15="http://schemas.microsoft.com/office/drawing/2012/chart">
                  <c:ext xmlns:c16="http://schemas.microsoft.com/office/drawing/2014/chart" uri="{C3380CC4-5D6E-409C-BE32-E72D297353CC}">
                    <c16:uniqueId val="{00000002-FF95-4DA8-A0CB-089FB7B8DF47}"/>
                  </c:ext>
                </c:extLst>
              </c15:ser>
            </c15:filteredBarSeries>
            <c15:filteredBarSeries>
              <c15:ser>
                <c:idx val="3"/>
                <c:order val="3"/>
                <c:tx>
                  <c:strRef>
                    <c:extLst xmlns:c15="http://schemas.microsoft.com/office/drawing/2012/chart">
                      <c:ext xmlns:c15="http://schemas.microsoft.com/office/drawing/2012/chart" uri="{02D57815-91ED-43cb-92C2-25804820EDAC}">
                        <c15:formulaRef>
                          <c15:sqref>Stats!$H$8</c15:sqref>
                        </c15:formulaRef>
                      </c:ext>
                    </c:extLst>
                    <c:strCache>
                      <c:ptCount val="1"/>
                      <c:pt idx="0">
                        <c:v>GW4</c:v>
                      </c:pt>
                    </c:strCache>
                  </c:strRef>
                </c:tx>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extLst xmlns:c15="http://schemas.microsoft.com/office/drawing/2012/chart">
                      <c:ext xmlns:c15="http://schemas.microsoft.com/office/drawing/2012/chart" uri="{02D57815-91ED-43cb-92C2-25804820EDAC}">
                        <c15:formulaRef>
                          <c15:sqref>Stats!$C$9:$C$25</c15:sqref>
                        </c15:formulaRef>
                      </c:ext>
                    </c:extLst>
                    <c:strCache>
                      <c:ptCount val="17"/>
                      <c:pt idx="0">
                        <c:v>Learnmore Ntshangase</c:v>
                      </c:pt>
                      <c:pt idx="1">
                        <c:v>Fanele Msweli</c:v>
                      </c:pt>
                      <c:pt idx="2">
                        <c:v>Lethu Mkhwanazi</c:v>
                      </c:pt>
                      <c:pt idx="3">
                        <c:v>Mhlengi Kunene</c:v>
                      </c:pt>
                      <c:pt idx="4">
                        <c:v>Minenhle Khumalo</c:v>
                      </c:pt>
                      <c:pt idx="5">
                        <c:v>Nhlakanipho Ntombela</c:v>
                      </c:pt>
                      <c:pt idx="6">
                        <c:v>Mtho Mabizela</c:v>
                      </c:pt>
                      <c:pt idx="7">
                        <c:v>Siyanda Ndaba</c:v>
                      </c:pt>
                      <c:pt idx="8">
                        <c:v>President Gamede</c:v>
                      </c:pt>
                      <c:pt idx="9">
                        <c:v>Luthando Ngidi</c:v>
                      </c:pt>
                      <c:pt idx="10">
                        <c:v>Kudzai Kupeta</c:v>
                      </c:pt>
                      <c:pt idx="11">
                        <c:v>Thembalethu Miya</c:v>
                      </c:pt>
                      <c:pt idx="12">
                        <c:v>Nkosi The Chef</c:v>
                      </c:pt>
                      <c:pt idx="13">
                        <c:v>Sthe Coqueto</c:v>
                      </c:pt>
                      <c:pt idx="14">
                        <c:v>Bheka Bhengu</c:v>
                      </c:pt>
                      <c:pt idx="15">
                        <c:v>Thato Choshi</c:v>
                      </c:pt>
                      <c:pt idx="16">
                        <c:v>Mbuyi Katumba</c:v>
                      </c:pt>
                    </c:strCache>
                  </c:strRef>
                </c:cat>
                <c:val>
                  <c:numRef>
                    <c:extLst xmlns:c15="http://schemas.microsoft.com/office/drawing/2012/chart">
                      <c:ext xmlns:c15="http://schemas.microsoft.com/office/drawing/2012/chart" uri="{02D57815-91ED-43cb-92C2-25804820EDAC}">
                        <c15:formulaRef>
                          <c15:sqref>Stats!$H$9:$H$25</c15:sqref>
                        </c15:formulaRef>
                      </c:ext>
                    </c:extLst>
                    <c:numCache>
                      <c:formatCode>_-* #\ ##0_-;\-* #\ ##0_-;_-* "-"??_-;_-@_-</c:formatCode>
                      <c:ptCount val="17"/>
                      <c:pt idx="0">
                        <c:v>59</c:v>
                      </c:pt>
                      <c:pt idx="1">
                        <c:v>78</c:v>
                      </c:pt>
                      <c:pt idx="2">
                        <c:v>71</c:v>
                      </c:pt>
                      <c:pt idx="3">
                        <c:v>69</c:v>
                      </c:pt>
                      <c:pt idx="4">
                        <c:v>73</c:v>
                      </c:pt>
                      <c:pt idx="5">
                        <c:v>59</c:v>
                      </c:pt>
                      <c:pt idx="6">
                        <c:v>66</c:v>
                      </c:pt>
                      <c:pt idx="7">
                        <c:v>63</c:v>
                      </c:pt>
                      <c:pt idx="8">
                        <c:v>75</c:v>
                      </c:pt>
                      <c:pt idx="9">
                        <c:v>70</c:v>
                      </c:pt>
                      <c:pt idx="10">
                        <c:v>65</c:v>
                      </c:pt>
                      <c:pt idx="11">
                        <c:v>64</c:v>
                      </c:pt>
                      <c:pt idx="12">
                        <c:v>79</c:v>
                      </c:pt>
                      <c:pt idx="13">
                        <c:v>47</c:v>
                      </c:pt>
                      <c:pt idx="14">
                        <c:v>51</c:v>
                      </c:pt>
                      <c:pt idx="15">
                        <c:v>87</c:v>
                      </c:pt>
                      <c:pt idx="16">
                        <c:v>78</c:v>
                      </c:pt>
                    </c:numCache>
                  </c:numRef>
                </c:val>
                <c:extLst xmlns:c15="http://schemas.microsoft.com/office/drawing/2012/chart">
                  <c:ext xmlns:c16="http://schemas.microsoft.com/office/drawing/2014/chart" uri="{C3380CC4-5D6E-409C-BE32-E72D297353CC}">
                    <c16:uniqueId val="{00000003-FF95-4DA8-A0CB-089FB7B8DF47}"/>
                  </c:ext>
                </c:extLst>
              </c15:ser>
            </c15:filteredBarSeries>
            <c15:filteredBarSeries>
              <c15:ser>
                <c:idx val="4"/>
                <c:order val="4"/>
                <c:tx>
                  <c:strRef>
                    <c:extLst xmlns:c15="http://schemas.microsoft.com/office/drawing/2012/chart">
                      <c:ext xmlns:c15="http://schemas.microsoft.com/office/drawing/2012/chart" uri="{02D57815-91ED-43cb-92C2-25804820EDAC}">
                        <c15:formulaRef>
                          <c15:sqref>Stats!$I$8</c15:sqref>
                        </c15:formulaRef>
                      </c:ext>
                    </c:extLst>
                    <c:strCache>
                      <c:ptCount val="1"/>
                      <c:pt idx="0">
                        <c:v>GW5</c:v>
                      </c:pt>
                    </c:strCache>
                  </c:strRef>
                </c:tx>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extLst xmlns:c15="http://schemas.microsoft.com/office/drawing/2012/chart">
                      <c:ext xmlns:c15="http://schemas.microsoft.com/office/drawing/2012/chart" uri="{02D57815-91ED-43cb-92C2-25804820EDAC}">
                        <c15:formulaRef>
                          <c15:sqref>Stats!$C$9:$C$25</c15:sqref>
                        </c15:formulaRef>
                      </c:ext>
                    </c:extLst>
                    <c:strCache>
                      <c:ptCount val="17"/>
                      <c:pt idx="0">
                        <c:v>Learnmore Ntshangase</c:v>
                      </c:pt>
                      <c:pt idx="1">
                        <c:v>Fanele Msweli</c:v>
                      </c:pt>
                      <c:pt idx="2">
                        <c:v>Lethu Mkhwanazi</c:v>
                      </c:pt>
                      <c:pt idx="3">
                        <c:v>Mhlengi Kunene</c:v>
                      </c:pt>
                      <c:pt idx="4">
                        <c:v>Minenhle Khumalo</c:v>
                      </c:pt>
                      <c:pt idx="5">
                        <c:v>Nhlakanipho Ntombela</c:v>
                      </c:pt>
                      <c:pt idx="6">
                        <c:v>Mtho Mabizela</c:v>
                      </c:pt>
                      <c:pt idx="7">
                        <c:v>Siyanda Ndaba</c:v>
                      </c:pt>
                      <c:pt idx="8">
                        <c:v>President Gamede</c:v>
                      </c:pt>
                      <c:pt idx="9">
                        <c:v>Luthando Ngidi</c:v>
                      </c:pt>
                      <c:pt idx="10">
                        <c:v>Kudzai Kupeta</c:v>
                      </c:pt>
                      <c:pt idx="11">
                        <c:v>Thembalethu Miya</c:v>
                      </c:pt>
                      <c:pt idx="12">
                        <c:v>Nkosi The Chef</c:v>
                      </c:pt>
                      <c:pt idx="13">
                        <c:v>Sthe Coqueto</c:v>
                      </c:pt>
                      <c:pt idx="14">
                        <c:v>Bheka Bhengu</c:v>
                      </c:pt>
                      <c:pt idx="15">
                        <c:v>Thato Choshi</c:v>
                      </c:pt>
                      <c:pt idx="16">
                        <c:v>Mbuyi Katumba</c:v>
                      </c:pt>
                    </c:strCache>
                  </c:strRef>
                </c:cat>
                <c:val>
                  <c:numRef>
                    <c:extLst xmlns:c15="http://schemas.microsoft.com/office/drawing/2012/chart">
                      <c:ext xmlns:c15="http://schemas.microsoft.com/office/drawing/2012/chart" uri="{02D57815-91ED-43cb-92C2-25804820EDAC}">
                        <c15:formulaRef>
                          <c15:sqref>Stats!$I$9:$I$25</c15:sqref>
                        </c15:formulaRef>
                      </c:ext>
                    </c:extLst>
                    <c:numCache>
                      <c:formatCode>_-* #\ ##0_-;\-* #\ ##0_-;_-* "-"??_-;_-@_-</c:formatCode>
                      <c:ptCount val="17"/>
                      <c:pt idx="0">
                        <c:v>57</c:v>
                      </c:pt>
                      <c:pt idx="1">
                        <c:v>30</c:v>
                      </c:pt>
                      <c:pt idx="2">
                        <c:v>54</c:v>
                      </c:pt>
                      <c:pt idx="3">
                        <c:v>76</c:v>
                      </c:pt>
                      <c:pt idx="4">
                        <c:v>52</c:v>
                      </c:pt>
                      <c:pt idx="5">
                        <c:v>41</c:v>
                      </c:pt>
                      <c:pt idx="6">
                        <c:v>50</c:v>
                      </c:pt>
                      <c:pt idx="7">
                        <c:v>45</c:v>
                      </c:pt>
                      <c:pt idx="8">
                        <c:v>32</c:v>
                      </c:pt>
                      <c:pt idx="9">
                        <c:v>50</c:v>
                      </c:pt>
                      <c:pt idx="10">
                        <c:v>34</c:v>
                      </c:pt>
                      <c:pt idx="11">
                        <c:v>55</c:v>
                      </c:pt>
                      <c:pt idx="12">
                        <c:v>52</c:v>
                      </c:pt>
                      <c:pt idx="13">
                        <c:v>46</c:v>
                      </c:pt>
                      <c:pt idx="14">
                        <c:v>52</c:v>
                      </c:pt>
                      <c:pt idx="15">
                        <c:v>37</c:v>
                      </c:pt>
                      <c:pt idx="16">
                        <c:v>66</c:v>
                      </c:pt>
                    </c:numCache>
                  </c:numRef>
                </c:val>
                <c:extLst xmlns:c15="http://schemas.microsoft.com/office/drawing/2012/chart">
                  <c:ext xmlns:c16="http://schemas.microsoft.com/office/drawing/2014/chart" uri="{C3380CC4-5D6E-409C-BE32-E72D297353CC}">
                    <c16:uniqueId val="{00000004-FF95-4DA8-A0CB-089FB7B8DF47}"/>
                  </c:ext>
                </c:extLst>
              </c15:ser>
            </c15:filteredBarSeries>
            <c15:filteredBarSeries>
              <c15:ser>
                <c:idx val="5"/>
                <c:order val="5"/>
                <c:tx>
                  <c:strRef>
                    <c:extLst xmlns:c15="http://schemas.microsoft.com/office/drawing/2012/chart">
                      <c:ext xmlns:c15="http://schemas.microsoft.com/office/drawing/2012/chart" uri="{02D57815-91ED-43cb-92C2-25804820EDAC}">
                        <c15:formulaRef>
                          <c15:sqref>Stats!$J$8</c15:sqref>
                        </c15:formulaRef>
                      </c:ext>
                    </c:extLst>
                    <c:strCache>
                      <c:ptCount val="1"/>
                      <c:pt idx="0">
                        <c:v>GW6</c:v>
                      </c:pt>
                    </c:strCache>
                  </c:strRef>
                </c:tx>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extLst xmlns:c15="http://schemas.microsoft.com/office/drawing/2012/chart">
                      <c:ext xmlns:c15="http://schemas.microsoft.com/office/drawing/2012/chart" uri="{02D57815-91ED-43cb-92C2-25804820EDAC}">
                        <c15:formulaRef>
                          <c15:sqref>Stats!$C$9:$C$25</c15:sqref>
                        </c15:formulaRef>
                      </c:ext>
                    </c:extLst>
                    <c:strCache>
                      <c:ptCount val="17"/>
                      <c:pt idx="0">
                        <c:v>Learnmore Ntshangase</c:v>
                      </c:pt>
                      <c:pt idx="1">
                        <c:v>Fanele Msweli</c:v>
                      </c:pt>
                      <c:pt idx="2">
                        <c:v>Lethu Mkhwanazi</c:v>
                      </c:pt>
                      <c:pt idx="3">
                        <c:v>Mhlengi Kunene</c:v>
                      </c:pt>
                      <c:pt idx="4">
                        <c:v>Minenhle Khumalo</c:v>
                      </c:pt>
                      <c:pt idx="5">
                        <c:v>Nhlakanipho Ntombela</c:v>
                      </c:pt>
                      <c:pt idx="6">
                        <c:v>Mtho Mabizela</c:v>
                      </c:pt>
                      <c:pt idx="7">
                        <c:v>Siyanda Ndaba</c:v>
                      </c:pt>
                      <c:pt idx="8">
                        <c:v>President Gamede</c:v>
                      </c:pt>
                      <c:pt idx="9">
                        <c:v>Luthando Ngidi</c:v>
                      </c:pt>
                      <c:pt idx="10">
                        <c:v>Kudzai Kupeta</c:v>
                      </c:pt>
                      <c:pt idx="11">
                        <c:v>Thembalethu Miya</c:v>
                      </c:pt>
                      <c:pt idx="12">
                        <c:v>Nkosi The Chef</c:v>
                      </c:pt>
                      <c:pt idx="13">
                        <c:v>Sthe Coqueto</c:v>
                      </c:pt>
                      <c:pt idx="14">
                        <c:v>Bheka Bhengu</c:v>
                      </c:pt>
                      <c:pt idx="15">
                        <c:v>Thato Choshi</c:v>
                      </c:pt>
                      <c:pt idx="16">
                        <c:v>Mbuyi Katumba</c:v>
                      </c:pt>
                    </c:strCache>
                  </c:strRef>
                </c:cat>
                <c:val>
                  <c:numRef>
                    <c:extLst xmlns:c15="http://schemas.microsoft.com/office/drawing/2012/chart">
                      <c:ext xmlns:c15="http://schemas.microsoft.com/office/drawing/2012/chart" uri="{02D57815-91ED-43cb-92C2-25804820EDAC}">
                        <c15:formulaRef>
                          <c15:sqref>Stats!$J$9:$J$25</c15:sqref>
                        </c15:formulaRef>
                      </c:ext>
                    </c:extLst>
                    <c:numCache>
                      <c:formatCode>_-* #\ ##0_-;\-* #\ ##0_-;_-* "-"??_-;_-@_-</c:formatCode>
                      <c:ptCount val="17"/>
                      <c:pt idx="0">
                        <c:v>26</c:v>
                      </c:pt>
                      <c:pt idx="1">
                        <c:v>44</c:v>
                      </c:pt>
                      <c:pt idx="2">
                        <c:v>45</c:v>
                      </c:pt>
                      <c:pt idx="3">
                        <c:v>78</c:v>
                      </c:pt>
                      <c:pt idx="4">
                        <c:v>21</c:v>
                      </c:pt>
                      <c:pt idx="5">
                        <c:v>70</c:v>
                      </c:pt>
                      <c:pt idx="6">
                        <c:v>38</c:v>
                      </c:pt>
                      <c:pt idx="7">
                        <c:v>62</c:v>
                      </c:pt>
                      <c:pt idx="8">
                        <c:v>53</c:v>
                      </c:pt>
                      <c:pt idx="9">
                        <c:v>59</c:v>
                      </c:pt>
                      <c:pt idx="10">
                        <c:v>46</c:v>
                      </c:pt>
                      <c:pt idx="11">
                        <c:v>53</c:v>
                      </c:pt>
                      <c:pt idx="12">
                        <c:v>70</c:v>
                      </c:pt>
                      <c:pt idx="13">
                        <c:v>56</c:v>
                      </c:pt>
                      <c:pt idx="14">
                        <c:v>57</c:v>
                      </c:pt>
                      <c:pt idx="15">
                        <c:v>29</c:v>
                      </c:pt>
                      <c:pt idx="16">
                        <c:v>59</c:v>
                      </c:pt>
                    </c:numCache>
                  </c:numRef>
                </c:val>
                <c:extLst xmlns:c15="http://schemas.microsoft.com/office/drawing/2012/chart">
                  <c:ext xmlns:c16="http://schemas.microsoft.com/office/drawing/2014/chart" uri="{C3380CC4-5D6E-409C-BE32-E72D297353CC}">
                    <c16:uniqueId val="{00000005-FF95-4DA8-A0CB-089FB7B8DF47}"/>
                  </c:ext>
                </c:extLst>
              </c15:ser>
            </c15:filteredBarSeries>
            <c15:filteredBarSeries>
              <c15:ser>
                <c:idx val="6"/>
                <c:order val="6"/>
                <c:tx>
                  <c:strRef>
                    <c:extLst xmlns:c15="http://schemas.microsoft.com/office/drawing/2012/chart">
                      <c:ext xmlns:c15="http://schemas.microsoft.com/office/drawing/2012/chart" uri="{02D57815-91ED-43cb-92C2-25804820EDAC}">
                        <c15:formulaRef>
                          <c15:sqref>Stats!$K$8</c15:sqref>
                        </c15:formulaRef>
                      </c:ext>
                    </c:extLst>
                    <c:strCache>
                      <c:ptCount val="1"/>
                      <c:pt idx="0">
                        <c:v>GW7</c:v>
                      </c:pt>
                    </c:strCache>
                  </c:strRef>
                </c:tx>
                <c:spPr>
                  <a:gradFill rotWithShape="1">
                    <a:gsLst>
                      <a:gs pos="0">
                        <a:schemeClr val="accent1">
                          <a:lumMod val="60000"/>
                          <a:satMod val="103000"/>
                          <a:lumMod val="102000"/>
                          <a:tint val="94000"/>
                        </a:schemeClr>
                      </a:gs>
                      <a:gs pos="50000">
                        <a:schemeClr val="accent1">
                          <a:lumMod val="60000"/>
                          <a:satMod val="110000"/>
                          <a:lumMod val="100000"/>
                          <a:shade val="100000"/>
                        </a:schemeClr>
                      </a:gs>
                      <a:gs pos="100000">
                        <a:schemeClr val="accent1">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extLst xmlns:c15="http://schemas.microsoft.com/office/drawing/2012/chart">
                      <c:ext xmlns:c15="http://schemas.microsoft.com/office/drawing/2012/chart" uri="{02D57815-91ED-43cb-92C2-25804820EDAC}">
                        <c15:formulaRef>
                          <c15:sqref>Stats!$C$9:$C$25</c15:sqref>
                        </c15:formulaRef>
                      </c:ext>
                    </c:extLst>
                    <c:strCache>
                      <c:ptCount val="17"/>
                      <c:pt idx="0">
                        <c:v>Learnmore Ntshangase</c:v>
                      </c:pt>
                      <c:pt idx="1">
                        <c:v>Fanele Msweli</c:v>
                      </c:pt>
                      <c:pt idx="2">
                        <c:v>Lethu Mkhwanazi</c:v>
                      </c:pt>
                      <c:pt idx="3">
                        <c:v>Mhlengi Kunene</c:v>
                      </c:pt>
                      <c:pt idx="4">
                        <c:v>Minenhle Khumalo</c:v>
                      </c:pt>
                      <c:pt idx="5">
                        <c:v>Nhlakanipho Ntombela</c:v>
                      </c:pt>
                      <c:pt idx="6">
                        <c:v>Mtho Mabizela</c:v>
                      </c:pt>
                      <c:pt idx="7">
                        <c:v>Siyanda Ndaba</c:v>
                      </c:pt>
                      <c:pt idx="8">
                        <c:v>President Gamede</c:v>
                      </c:pt>
                      <c:pt idx="9">
                        <c:v>Luthando Ngidi</c:v>
                      </c:pt>
                      <c:pt idx="10">
                        <c:v>Kudzai Kupeta</c:v>
                      </c:pt>
                      <c:pt idx="11">
                        <c:v>Thembalethu Miya</c:v>
                      </c:pt>
                      <c:pt idx="12">
                        <c:v>Nkosi The Chef</c:v>
                      </c:pt>
                      <c:pt idx="13">
                        <c:v>Sthe Coqueto</c:v>
                      </c:pt>
                      <c:pt idx="14">
                        <c:v>Bheka Bhengu</c:v>
                      </c:pt>
                      <c:pt idx="15">
                        <c:v>Thato Choshi</c:v>
                      </c:pt>
                      <c:pt idx="16">
                        <c:v>Mbuyi Katumba</c:v>
                      </c:pt>
                    </c:strCache>
                  </c:strRef>
                </c:cat>
                <c:val>
                  <c:numRef>
                    <c:extLst xmlns:c15="http://schemas.microsoft.com/office/drawing/2012/chart">
                      <c:ext xmlns:c15="http://schemas.microsoft.com/office/drawing/2012/chart" uri="{02D57815-91ED-43cb-92C2-25804820EDAC}">
                        <c15:formulaRef>
                          <c15:sqref>Stats!$K$9:$K$25</c15:sqref>
                        </c15:formulaRef>
                      </c:ext>
                    </c:extLst>
                    <c:numCache>
                      <c:formatCode>_-* #\ ##0_-;\-* #\ ##0_-;_-* "-"??_-;_-@_-</c:formatCode>
                      <c:ptCount val="17"/>
                      <c:pt idx="0">
                        <c:v>87</c:v>
                      </c:pt>
                      <c:pt idx="1">
                        <c:v>53</c:v>
                      </c:pt>
                      <c:pt idx="2">
                        <c:v>55</c:v>
                      </c:pt>
                      <c:pt idx="3">
                        <c:v>79</c:v>
                      </c:pt>
                      <c:pt idx="4">
                        <c:v>86</c:v>
                      </c:pt>
                      <c:pt idx="5">
                        <c:v>87</c:v>
                      </c:pt>
                      <c:pt idx="6">
                        <c:v>46</c:v>
                      </c:pt>
                      <c:pt idx="7">
                        <c:v>64</c:v>
                      </c:pt>
                      <c:pt idx="8">
                        <c:v>63</c:v>
                      </c:pt>
                      <c:pt idx="9">
                        <c:v>77</c:v>
                      </c:pt>
                      <c:pt idx="10">
                        <c:v>67</c:v>
                      </c:pt>
                      <c:pt idx="11">
                        <c:v>62</c:v>
                      </c:pt>
                      <c:pt idx="12">
                        <c:v>69</c:v>
                      </c:pt>
                      <c:pt idx="13">
                        <c:v>60</c:v>
                      </c:pt>
                      <c:pt idx="14">
                        <c:v>65</c:v>
                      </c:pt>
                      <c:pt idx="15">
                        <c:v>65</c:v>
                      </c:pt>
                      <c:pt idx="16">
                        <c:v>58</c:v>
                      </c:pt>
                    </c:numCache>
                  </c:numRef>
                </c:val>
                <c:extLst xmlns:c15="http://schemas.microsoft.com/office/drawing/2012/chart">
                  <c:ext xmlns:c16="http://schemas.microsoft.com/office/drawing/2014/chart" uri="{C3380CC4-5D6E-409C-BE32-E72D297353CC}">
                    <c16:uniqueId val="{00000006-FF95-4DA8-A0CB-089FB7B8DF47}"/>
                  </c:ext>
                </c:extLst>
              </c15:ser>
            </c15:filteredBarSeries>
            <c15:filteredBarSeries>
              <c15:ser>
                <c:idx val="7"/>
                <c:order val="7"/>
                <c:tx>
                  <c:strRef>
                    <c:extLst xmlns:c15="http://schemas.microsoft.com/office/drawing/2012/chart">
                      <c:ext xmlns:c15="http://schemas.microsoft.com/office/drawing/2012/chart" uri="{02D57815-91ED-43cb-92C2-25804820EDAC}">
                        <c15:formulaRef>
                          <c15:sqref>Stats!$L$8</c15:sqref>
                        </c15:formulaRef>
                      </c:ext>
                    </c:extLst>
                    <c:strCache>
                      <c:ptCount val="1"/>
                      <c:pt idx="0">
                        <c:v>GW8</c:v>
                      </c:pt>
                    </c:strCache>
                  </c:strRef>
                </c:tx>
                <c:spPr>
                  <a:gradFill rotWithShape="1">
                    <a:gsLst>
                      <a:gs pos="0">
                        <a:schemeClr val="accent2">
                          <a:lumMod val="60000"/>
                          <a:satMod val="103000"/>
                          <a:lumMod val="102000"/>
                          <a:tint val="94000"/>
                        </a:schemeClr>
                      </a:gs>
                      <a:gs pos="50000">
                        <a:schemeClr val="accent2">
                          <a:lumMod val="60000"/>
                          <a:satMod val="110000"/>
                          <a:lumMod val="100000"/>
                          <a:shade val="100000"/>
                        </a:schemeClr>
                      </a:gs>
                      <a:gs pos="100000">
                        <a:schemeClr val="accent2">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extLst xmlns:c15="http://schemas.microsoft.com/office/drawing/2012/chart">
                      <c:ext xmlns:c15="http://schemas.microsoft.com/office/drawing/2012/chart" uri="{02D57815-91ED-43cb-92C2-25804820EDAC}">
                        <c15:formulaRef>
                          <c15:sqref>Stats!$C$9:$C$25</c15:sqref>
                        </c15:formulaRef>
                      </c:ext>
                    </c:extLst>
                    <c:strCache>
                      <c:ptCount val="17"/>
                      <c:pt idx="0">
                        <c:v>Learnmore Ntshangase</c:v>
                      </c:pt>
                      <c:pt idx="1">
                        <c:v>Fanele Msweli</c:v>
                      </c:pt>
                      <c:pt idx="2">
                        <c:v>Lethu Mkhwanazi</c:v>
                      </c:pt>
                      <c:pt idx="3">
                        <c:v>Mhlengi Kunene</c:v>
                      </c:pt>
                      <c:pt idx="4">
                        <c:v>Minenhle Khumalo</c:v>
                      </c:pt>
                      <c:pt idx="5">
                        <c:v>Nhlakanipho Ntombela</c:v>
                      </c:pt>
                      <c:pt idx="6">
                        <c:v>Mtho Mabizela</c:v>
                      </c:pt>
                      <c:pt idx="7">
                        <c:v>Siyanda Ndaba</c:v>
                      </c:pt>
                      <c:pt idx="8">
                        <c:v>President Gamede</c:v>
                      </c:pt>
                      <c:pt idx="9">
                        <c:v>Luthando Ngidi</c:v>
                      </c:pt>
                      <c:pt idx="10">
                        <c:v>Kudzai Kupeta</c:v>
                      </c:pt>
                      <c:pt idx="11">
                        <c:v>Thembalethu Miya</c:v>
                      </c:pt>
                      <c:pt idx="12">
                        <c:v>Nkosi The Chef</c:v>
                      </c:pt>
                      <c:pt idx="13">
                        <c:v>Sthe Coqueto</c:v>
                      </c:pt>
                      <c:pt idx="14">
                        <c:v>Bheka Bhengu</c:v>
                      </c:pt>
                      <c:pt idx="15">
                        <c:v>Thato Choshi</c:v>
                      </c:pt>
                      <c:pt idx="16">
                        <c:v>Mbuyi Katumba</c:v>
                      </c:pt>
                    </c:strCache>
                  </c:strRef>
                </c:cat>
                <c:val>
                  <c:numRef>
                    <c:extLst xmlns:c15="http://schemas.microsoft.com/office/drawing/2012/chart">
                      <c:ext xmlns:c15="http://schemas.microsoft.com/office/drawing/2012/chart" uri="{02D57815-91ED-43cb-92C2-25804820EDAC}">
                        <c15:formulaRef>
                          <c15:sqref>Stats!$L$9:$L$25</c15:sqref>
                        </c15:formulaRef>
                      </c:ext>
                    </c:extLst>
                    <c:numCache>
                      <c:formatCode>_-* #\ ##0_-;\-* #\ ##0_-;_-* "-"??_-;_-@_-</c:formatCode>
                      <c:ptCount val="17"/>
                      <c:pt idx="0">
                        <c:v>72</c:v>
                      </c:pt>
                      <c:pt idx="1">
                        <c:v>60</c:v>
                      </c:pt>
                      <c:pt idx="2">
                        <c:v>60</c:v>
                      </c:pt>
                      <c:pt idx="3">
                        <c:v>57</c:v>
                      </c:pt>
                      <c:pt idx="4">
                        <c:v>57</c:v>
                      </c:pt>
                      <c:pt idx="5">
                        <c:v>91</c:v>
                      </c:pt>
                      <c:pt idx="6">
                        <c:v>46</c:v>
                      </c:pt>
                      <c:pt idx="7">
                        <c:v>53</c:v>
                      </c:pt>
                      <c:pt idx="8">
                        <c:v>56</c:v>
                      </c:pt>
                      <c:pt idx="9">
                        <c:v>58</c:v>
                      </c:pt>
                      <c:pt idx="10">
                        <c:v>58</c:v>
                      </c:pt>
                      <c:pt idx="11">
                        <c:v>51</c:v>
                      </c:pt>
                      <c:pt idx="12">
                        <c:v>66</c:v>
                      </c:pt>
                      <c:pt idx="13">
                        <c:v>62</c:v>
                      </c:pt>
                      <c:pt idx="14">
                        <c:v>53</c:v>
                      </c:pt>
                      <c:pt idx="15">
                        <c:v>67</c:v>
                      </c:pt>
                      <c:pt idx="16">
                        <c:v>60</c:v>
                      </c:pt>
                    </c:numCache>
                  </c:numRef>
                </c:val>
                <c:extLst xmlns:c15="http://schemas.microsoft.com/office/drawing/2012/chart">
                  <c:ext xmlns:c16="http://schemas.microsoft.com/office/drawing/2014/chart" uri="{C3380CC4-5D6E-409C-BE32-E72D297353CC}">
                    <c16:uniqueId val="{00000007-FF95-4DA8-A0CB-089FB7B8DF47}"/>
                  </c:ext>
                </c:extLst>
              </c15:ser>
            </c15:filteredBarSeries>
            <c15:filteredBarSeries>
              <c15:ser>
                <c:idx val="8"/>
                <c:order val="8"/>
                <c:tx>
                  <c:strRef>
                    <c:extLst xmlns:c15="http://schemas.microsoft.com/office/drawing/2012/chart">
                      <c:ext xmlns:c15="http://schemas.microsoft.com/office/drawing/2012/chart" uri="{02D57815-91ED-43cb-92C2-25804820EDAC}">
                        <c15:formulaRef>
                          <c15:sqref>Stats!$M$8</c15:sqref>
                        </c15:formulaRef>
                      </c:ext>
                    </c:extLst>
                    <c:strCache>
                      <c:ptCount val="1"/>
                      <c:pt idx="0">
                        <c:v>GW9</c:v>
                      </c:pt>
                    </c:strCache>
                  </c:strRef>
                </c:tx>
                <c:spPr>
                  <a:gradFill rotWithShape="1">
                    <a:gsLst>
                      <a:gs pos="0">
                        <a:schemeClr val="accent3">
                          <a:lumMod val="60000"/>
                          <a:satMod val="103000"/>
                          <a:lumMod val="102000"/>
                          <a:tint val="94000"/>
                        </a:schemeClr>
                      </a:gs>
                      <a:gs pos="50000">
                        <a:schemeClr val="accent3">
                          <a:lumMod val="60000"/>
                          <a:satMod val="110000"/>
                          <a:lumMod val="100000"/>
                          <a:shade val="100000"/>
                        </a:schemeClr>
                      </a:gs>
                      <a:gs pos="100000">
                        <a:schemeClr val="accent3">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extLst xmlns:c15="http://schemas.microsoft.com/office/drawing/2012/chart">
                      <c:ext xmlns:c15="http://schemas.microsoft.com/office/drawing/2012/chart" uri="{02D57815-91ED-43cb-92C2-25804820EDAC}">
                        <c15:formulaRef>
                          <c15:sqref>Stats!$C$9:$C$25</c15:sqref>
                        </c15:formulaRef>
                      </c:ext>
                    </c:extLst>
                    <c:strCache>
                      <c:ptCount val="17"/>
                      <c:pt idx="0">
                        <c:v>Learnmore Ntshangase</c:v>
                      </c:pt>
                      <c:pt idx="1">
                        <c:v>Fanele Msweli</c:v>
                      </c:pt>
                      <c:pt idx="2">
                        <c:v>Lethu Mkhwanazi</c:v>
                      </c:pt>
                      <c:pt idx="3">
                        <c:v>Mhlengi Kunene</c:v>
                      </c:pt>
                      <c:pt idx="4">
                        <c:v>Minenhle Khumalo</c:v>
                      </c:pt>
                      <c:pt idx="5">
                        <c:v>Nhlakanipho Ntombela</c:v>
                      </c:pt>
                      <c:pt idx="6">
                        <c:v>Mtho Mabizela</c:v>
                      </c:pt>
                      <c:pt idx="7">
                        <c:v>Siyanda Ndaba</c:v>
                      </c:pt>
                      <c:pt idx="8">
                        <c:v>President Gamede</c:v>
                      </c:pt>
                      <c:pt idx="9">
                        <c:v>Luthando Ngidi</c:v>
                      </c:pt>
                      <c:pt idx="10">
                        <c:v>Kudzai Kupeta</c:v>
                      </c:pt>
                      <c:pt idx="11">
                        <c:v>Thembalethu Miya</c:v>
                      </c:pt>
                      <c:pt idx="12">
                        <c:v>Nkosi The Chef</c:v>
                      </c:pt>
                      <c:pt idx="13">
                        <c:v>Sthe Coqueto</c:v>
                      </c:pt>
                      <c:pt idx="14">
                        <c:v>Bheka Bhengu</c:v>
                      </c:pt>
                      <c:pt idx="15">
                        <c:v>Thato Choshi</c:v>
                      </c:pt>
                      <c:pt idx="16">
                        <c:v>Mbuyi Katumba</c:v>
                      </c:pt>
                    </c:strCache>
                  </c:strRef>
                </c:cat>
                <c:val>
                  <c:numRef>
                    <c:extLst xmlns:c15="http://schemas.microsoft.com/office/drawing/2012/chart">
                      <c:ext xmlns:c15="http://schemas.microsoft.com/office/drawing/2012/chart" uri="{02D57815-91ED-43cb-92C2-25804820EDAC}">
                        <c15:formulaRef>
                          <c15:sqref>Stats!$M$9:$M$25</c15:sqref>
                        </c15:formulaRef>
                      </c:ext>
                    </c:extLst>
                    <c:numCache>
                      <c:formatCode>_-* #\ ##0_-;\-* #\ ##0_-;_-* "-"??_-;_-@_-</c:formatCode>
                      <c:ptCount val="17"/>
                      <c:pt idx="0">
                        <c:v>38</c:v>
                      </c:pt>
                      <c:pt idx="1">
                        <c:v>43</c:v>
                      </c:pt>
                      <c:pt idx="2">
                        <c:v>45</c:v>
                      </c:pt>
                      <c:pt idx="3">
                        <c:v>42</c:v>
                      </c:pt>
                      <c:pt idx="4">
                        <c:v>34</c:v>
                      </c:pt>
                      <c:pt idx="5">
                        <c:v>43</c:v>
                      </c:pt>
                      <c:pt idx="6">
                        <c:v>52</c:v>
                      </c:pt>
                      <c:pt idx="7">
                        <c:v>51</c:v>
                      </c:pt>
                      <c:pt idx="8">
                        <c:v>49</c:v>
                      </c:pt>
                      <c:pt idx="9">
                        <c:v>57</c:v>
                      </c:pt>
                      <c:pt idx="10">
                        <c:v>46</c:v>
                      </c:pt>
                      <c:pt idx="11">
                        <c:v>29</c:v>
                      </c:pt>
                      <c:pt idx="12">
                        <c:v>42</c:v>
                      </c:pt>
                      <c:pt idx="13">
                        <c:v>44</c:v>
                      </c:pt>
                      <c:pt idx="14">
                        <c:v>37</c:v>
                      </c:pt>
                      <c:pt idx="15">
                        <c:v>53</c:v>
                      </c:pt>
                      <c:pt idx="16">
                        <c:v>40</c:v>
                      </c:pt>
                    </c:numCache>
                  </c:numRef>
                </c:val>
                <c:extLst xmlns:c15="http://schemas.microsoft.com/office/drawing/2012/chart">
                  <c:ext xmlns:c16="http://schemas.microsoft.com/office/drawing/2014/chart" uri="{C3380CC4-5D6E-409C-BE32-E72D297353CC}">
                    <c16:uniqueId val="{00000008-FF95-4DA8-A0CB-089FB7B8DF47}"/>
                  </c:ext>
                </c:extLst>
              </c15:ser>
            </c15:filteredBarSeries>
            <c15:filteredBarSeries>
              <c15:ser>
                <c:idx val="9"/>
                <c:order val="9"/>
                <c:tx>
                  <c:strRef>
                    <c:extLst xmlns:c15="http://schemas.microsoft.com/office/drawing/2012/chart">
                      <c:ext xmlns:c15="http://schemas.microsoft.com/office/drawing/2012/chart" uri="{02D57815-91ED-43cb-92C2-25804820EDAC}">
                        <c15:formulaRef>
                          <c15:sqref>Stats!$N$8</c15:sqref>
                        </c15:formulaRef>
                      </c:ext>
                    </c:extLst>
                    <c:strCache>
                      <c:ptCount val="1"/>
                      <c:pt idx="0">
                        <c:v>GW10</c:v>
                      </c:pt>
                    </c:strCache>
                  </c:strRef>
                </c:tx>
                <c:spPr>
                  <a:gradFill rotWithShape="1">
                    <a:gsLst>
                      <a:gs pos="0">
                        <a:schemeClr val="accent4">
                          <a:lumMod val="60000"/>
                          <a:satMod val="103000"/>
                          <a:lumMod val="102000"/>
                          <a:tint val="94000"/>
                        </a:schemeClr>
                      </a:gs>
                      <a:gs pos="50000">
                        <a:schemeClr val="accent4">
                          <a:lumMod val="60000"/>
                          <a:satMod val="110000"/>
                          <a:lumMod val="100000"/>
                          <a:shade val="100000"/>
                        </a:schemeClr>
                      </a:gs>
                      <a:gs pos="100000">
                        <a:schemeClr val="accent4">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extLst xmlns:c15="http://schemas.microsoft.com/office/drawing/2012/chart">
                      <c:ext xmlns:c15="http://schemas.microsoft.com/office/drawing/2012/chart" uri="{02D57815-91ED-43cb-92C2-25804820EDAC}">
                        <c15:formulaRef>
                          <c15:sqref>Stats!$C$9:$C$25</c15:sqref>
                        </c15:formulaRef>
                      </c:ext>
                    </c:extLst>
                    <c:strCache>
                      <c:ptCount val="17"/>
                      <c:pt idx="0">
                        <c:v>Learnmore Ntshangase</c:v>
                      </c:pt>
                      <c:pt idx="1">
                        <c:v>Fanele Msweli</c:v>
                      </c:pt>
                      <c:pt idx="2">
                        <c:v>Lethu Mkhwanazi</c:v>
                      </c:pt>
                      <c:pt idx="3">
                        <c:v>Mhlengi Kunene</c:v>
                      </c:pt>
                      <c:pt idx="4">
                        <c:v>Minenhle Khumalo</c:v>
                      </c:pt>
                      <c:pt idx="5">
                        <c:v>Nhlakanipho Ntombela</c:v>
                      </c:pt>
                      <c:pt idx="6">
                        <c:v>Mtho Mabizela</c:v>
                      </c:pt>
                      <c:pt idx="7">
                        <c:v>Siyanda Ndaba</c:v>
                      </c:pt>
                      <c:pt idx="8">
                        <c:v>President Gamede</c:v>
                      </c:pt>
                      <c:pt idx="9">
                        <c:v>Luthando Ngidi</c:v>
                      </c:pt>
                      <c:pt idx="10">
                        <c:v>Kudzai Kupeta</c:v>
                      </c:pt>
                      <c:pt idx="11">
                        <c:v>Thembalethu Miya</c:v>
                      </c:pt>
                      <c:pt idx="12">
                        <c:v>Nkosi The Chef</c:v>
                      </c:pt>
                      <c:pt idx="13">
                        <c:v>Sthe Coqueto</c:v>
                      </c:pt>
                      <c:pt idx="14">
                        <c:v>Bheka Bhengu</c:v>
                      </c:pt>
                      <c:pt idx="15">
                        <c:v>Thato Choshi</c:v>
                      </c:pt>
                      <c:pt idx="16">
                        <c:v>Mbuyi Katumba</c:v>
                      </c:pt>
                    </c:strCache>
                  </c:strRef>
                </c:cat>
                <c:val>
                  <c:numRef>
                    <c:extLst xmlns:c15="http://schemas.microsoft.com/office/drawing/2012/chart">
                      <c:ext xmlns:c15="http://schemas.microsoft.com/office/drawing/2012/chart" uri="{02D57815-91ED-43cb-92C2-25804820EDAC}">
                        <c15:formulaRef>
                          <c15:sqref>Stats!$N$9:$N$25</c15:sqref>
                        </c15:formulaRef>
                      </c:ext>
                    </c:extLst>
                    <c:numCache>
                      <c:formatCode>_-* #\ ##0_-;\-* #\ ##0_-;_-* "-"??_-;_-@_-</c:formatCode>
                      <c:ptCount val="17"/>
                      <c:pt idx="0">
                        <c:v>54</c:v>
                      </c:pt>
                      <c:pt idx="1">
                        <c:v>57</c:v>
                      </c:pt>
                      <c:pt idx="2">
                        <c:v>84</c:v>
                      </c:pt>
                      <c:pt idx="3">
                        <c:v>71</c:v>
                      </c:pt>
                      <c:pt idx="4">
                        <c:v>65</c:v>
                      </c:pt>
                      <c:pt idx="5">
                        <c:v>78</c:v>
                      </c:pt>
                      <c:pt idx="6">
                        <c:v>64</c:v>
                      </c:pt>
                      <c:pt idx="7">
                        <c:v>68</c:v>
                      </c:pt>
                      <c:pt idx="8">
                        <c:v>53</c:v>
                      </c:pt>
                      <c:pt idx="9">
                        <c:v>89</c:v>
                      </c:pt>
                      <c:pt idx="10">
                        <c:v>67</c:v>
                      </c:pt>
                      <c:pt idx="11">
                        <c:v>58</c:v>
                      </c:pt>
                      <c:pt idx="12">
                        <c:v>71</c:v>
                      </c:pt>
                      <c:pt idx="13">
                        <c:v>87</c:v>
                      </c:pt>
                      <c:pt idx="14">
                        <c:v>63</c:v>
                      </c:pt>
                      <c:pt idx="15">
                        <c:v>53</c:v>
                      </c:pt>
                      <c:pt idx="16">
                        <c:v>78</c:v>
                      </c:pt>
                    </c:numCache>
                  </c:numRef>
                </c:val>
                <c:extLst xmlns:c15="http://schemas.microsoft.com/office/drawing/2012/chart">
                  <c:ext xmlns:c16="http://schemas.microsoft.com/office/drawing/2014/chart" uri="{C3380CC4-5D6E-409C-BE32-E72D297353CC}">
                    <c16:uniqueId val="{00000009-FF95-4DA8-A0CB-089FB7B8DF47}"/>
                  </c:ext>
                </c:extLst>
              </c15:ser>
            </c15:filteredBarSeries>
            <c15:filteredBarSeries>
              <c15:ser>
                <c:idx val="10"/>
                <c:order val="10"/>
                <c:tx>
                  <c:strRef>
                    <c:extLst xmlns:c15="http://schemas.microsoft.com/office/drawing/2012/chart">
                      <c:ext xmlns:c15="http://schemas.microsoft.com/office/drawing/2012/chart" uri="{02D57815-91ED-43cb-92C2-25804820EDAC}">
                        <c15:formulaRef>
                          <c15:sqref>Stats!$O$8</c15:sqref>
                        </c15:formulaRef>
                      </c:ext>
                    </c:extLst>
                    <c:strCache>
                      <c:ptCount val="1"/>
                      <c:pt idx="0">
                        <c:v>GW11</c:v>
                      </c:pt>
                    </c:strCache>
                  </c:strRef>
                </c:tx>
                <c:spPr>
                  <a:gradFill rotWithShape="1">
                    <a:gsLst>
                      <a:gs pos="0">
                        <a:schemeClr val="accent5">
                          <a:lumMod val="60000"/>
                          <a:satMod val="103000"/>
                          <a:lumMod val="102000"/>
                          <a:tint val="94000"/>
                        </a:schemeClr>
                      </a:gs>
                      <a:gs pos="50000">
                        <a:schemeClr val="accent5">
                          <a:lumMod val="60000"/>
                          <a:satMod val="110000"/>
                          <a:lumMod val="100000"/>
                          <a:shade val="100000"/>
                        </a:schemeClr>
                      </a:gs>
                      <a:gs pos="100000">
                        <a:schemeClr val="accent5">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extLst xmlns:c15="http://schemas.microsoft.com/office/drawing/2012/chart">
                      <c:ext xmlns:c15="http://schemas.microsoft.com/office/drawing/2012/chart" uri="{02D57815-91ED-43cb-92C2-25804820EDAC}">
                        <c15:formulaRef>
                          <c15:sqref>Stats!$C$9:$C$25</c15:sqref>
                        </c15:formulaRef>
                      </c:ext>
                    </c:extLst>
                    <c:strCache>
                      <c:ptCount val="17"/>
                      <c:pt idx="0">
                        <c:v>Learnmore Ntshangase</c:v>
                      </c:pt>
                      <c:pt idx="1">
                        <c:v>Fanele Msweli</c:v>
                      </c:pt>
                      <c:pt idx="2">
                        <c:v>Lethu Mkhwanazi</c:v>
                      </c:pt>
                      <c:pt idx="3">
                        <c:v>Mhlengi Kunene</c:v>
                      </c:pt>
                      <c:pt idx="4">
                        <c:v>Minenhle Khumalo</c:v>
                      </c:pt>
                      <c:pt idx="5">
                        <c:v>Nhlakanipho Ntombela</c:v>
                      </c:pt>
                      <c:pt idx="6">
                        <c:v>Mtho Mabizela</c:v>
                      </c:pt>
                      <c:pt idx="7">
                        <c:v>Siyanda Ndaba</c:v>
                      </c:pt>
                      <c:pt idx="8">
                        <c:v>President Gamede</c:v>
                      </c:pt>
                      <c:pt idx="9">
                        <c:v>Luthando Ngidi</c:v>
                      </c:pt>
                      <c:pt idx="10">
                        <c:v>Kudzai Kupeta</c:v>
                      </c:pt>
                      <c:pt idx="11">
                        <c:v>Thembalethu Miya</c:v>
                      </c:pt>
                      <c:pt idx="12">
                        <c:v>Nkosi The Chef</c:v>
                      </c:pt>
                      <c:pt idx="13">
                        <c:v>Sthe Coqueto</c:v>
                      </c:pt>
                      <c:pt idx="14">
                        <c:v>Bheka Bhengu</c:v>
                      </c:pt>
                      <c:pt idx="15">
                        <c:v>Thato Choshi</c:v>
                      </c:pt>
                      <c:pt idx="16">
                        <c:v>Mbuyi Katumba</c:v>
                      </c:pt>
                    </c:strCache>
                  </c:strRef>
                </c:cat>
                <c:val>
                  <c:numRef>
                    <c:extLst xmlns:c15="http://schemas.microsoft.com/office/drawing/2012/chart">
                      <c:ext xmlns:c15="http://schemas.microsoft.com/office/drawing/2012/chart" uri="{02D57815-91ED-43cb-92C2-25804820EDAC}">
                        <c15:formulaRef>
                          <c15:sqref>Stats!$O$9:$O$25</c15:sqref>
                        </c15:formulaRef>
                      </c:ext>
                    </c:extLst>
                    <c:numCache>
                      <c:formatCode>_-* #\ ##0_-;\-* #\ ##0_-;_-* "-"??_-;_-@_-</c:formatCode>
                      <c:ptCount val="17"/>
                      <c:pt idx="0">
                        <c:v>50</c:v>
                      </c:pt>
                      <c:pt idx="1">
                        <c:v>28</c:v>
                      </c:pt>
                      <c:pt idx="2">
                        <c:v>34</c:v>
                      </c:pt>
                      <c:pt idx="3">
                        <c:v>36</c:v>
                      </c:pt>
                      <c:pt idx="4">
                        <c:v>43</c:v>
                      </c:pt>
                      <c:pt idx="5">
                        <c:v>38</c:v>
                      </c:pt>
                      <c:pt idx="6">
                        <c:v>38</c:v>
                      </c:pt>
                      <c:pt idx="7">
                        <c:v>53</c:v>
                      </c:pt>
                      <c:pt idx="8">
                        <c:v>40</c:v>
                      </c:pt>
                      <c:pt idx="9">
                        <c:v>39</c:v>
                      </c:pt>
                      <c:pt idx="10">
                        <c:v>25</c:v>
                      </c:pt>
                      <c:pt idx="11">
                        <c:v>29</c:v>
                      </c:pt>
                      <c:pt idx="12">
                        <c:v>45</c:v>
                      </c:pt>
                      <c:pt idx="13">
                        <c:v>43</c:v>
                      </c:pt>
                      <c:pt idx="14">
                        <c:v>28</c:v>
                      </c:pt>
                      <c:pt idx="15">
                        <c:v>41</c:v>
                      </c:pt>
                      <c:pt idx="16">
                        <c:v>45</c:v>
                      </c:pt>
                    </c:numCache>
                  </c:numRef>
                </c:val>
                <c:extLst xmlns:c15="http://schemas.microsoft.com/office/drawing/2012/chart">
                  <c:ext xmlns:c16="http://schemas.microsoft.com/office/drawing/2014/chart" uri="{C3380CC4-5D6E-409C-BE32-E72D297353CC}">
                    <c16:uniqueId val="{0000000A-FF95-4DA8-A0CB-089FB7B8DF47}"/>
                  </c:ext>
                </c:extLst>
              </c15:ser>
            </c15:filteredBarSeries>
            <c15:filteredBarSeries>
              <c15:ser>
                <c:idx val="11"/>
                <c:order val="11"/>
                <c:tx>
                  <c:strRef>
                    <c:extLst xmlns:c15="http://schemas.microsoft.com/office/drawing/2012/chart">
                      <c:ext xmlns:c15="http://schemas.microsoft.com/office/drawing/2012/chart" uri="{02D57815-91ED-43cb-92C2-25804820EDAC}">
                        <c15:formulaRef>
                          <c15:sqref>Stats!$P$8</c15:sqref>
                        </c15:formulaRef>
                      </c:ext>
                    </c:extLst>
                    <c:strCache>
                      <c:ptCount val="1"/>
                      <c:pt idx="0">
                        <c:v>GW12</c:v>
                      </c:pt>
                    </c:strCache>
                  </c:strRef>
                </c:tx>
                <c:spPr>
                  <a:gradFill rotWithShape="1">
                    <a:gsLst>
                      <a:gs pos="0">
                        <a:schemeClr val="accent6">
                          <a:lumMod val="60000"/>
                          <a:satMod val="103000"/>
                          <a:lumMod val="102000"/>
                          <a:tint val="94000"/>
                        </a:schemeClr>
                      </a:gs>
                      <a:gs pos="50000">
                        <a:schemeClr val="accent6">
                          <a:lumMod val="60000"/>
                          <a:satMod val="110000"/>
                          <a:lumMod val="100000"/>
                          <a:shade val="100000"/>
                        </a:schemeClr>
                      </a:gs>
                      <a:gs pos="100000">
                        <a:schemeClr val="accent6">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extLst xmlns:c15="http://schemas.microsoft.com/office/drawing/2012/chart">
                      <c:ext xmlns:c15="http://schemas.microsoft.com/office/drawing/2012/chart" uri="{02D57815-91ED-43cb-92C2-25804820EDAC}">
                        <c15:formulaRef>
                          <c15:sqref>Stats!$C$9:$C$25</c15:sqref>
                        </c15:formulaRef>
                      </c:ext>
                    </c:extLst>
                    <c:strCache>
                      <c:ptCount val="17"/>
                      <c:pt idx="0">
                        <c:v>Learnmore Ntshangase</c:v>
                      </c:pt>
                      <c:pt idx="1">
                        <c:v>Fanele Msweli</c:v>
                      </c:pt>
                      <c:pt idx="2">
                        <c:v>Lethu Mkhwanazi</c:v>
                      </c:pt>
                      <c:pt idx="3">
                        <c:v>Mhlengi Kunene</c:v>
                      </c:pt>
                      <c:pt idx="4">
                        <c:v>Minenhle Khumalo</c:v>
                      </c:pt>
                      <c:pt idx="5">
                        <c:v>Nhlakanipho Ntombela</c:v>
                      </c:pt>
                      <c:pt idx="6">
                        <c:v>Mtho Mabizela</c:v>
                      </c:pt>
                      <c:pt idx="7">
                        <c:v>Siyanda Ndaba</c:v>
                      </c:pt>
                      <c:pt idx="8">
                        <c:v>President Gamede</c:v>
                      </c:pt>
                      <c:pt idx="9">
                        <c:v>Luthando Ngidi</c:v>
                      </c:pt>
                      <c:pt idx="10">
                        <c:v>Kudzai Kupeta</c:v>
                      </c:pt>
                      <c:pt idx="11">
                        <c:v>Thembalethu Miya</c:v>
                      </c:pt>
                      <c:pt idx="12">
                        <c:v>Nkosi The Chef</c:v>
                      </c:pt>
                      <c:pt idx="13">
                        <c:v>Sthe Coqueto</c:v>
                      </c:pt>
                      <c:pt idx="14">
                        <c:v>Bheka Bhengu</c:v>
                      </c:pt>
                      <c:pt idx="15">
                        <c:v>Thato Choshi</c:v>
                      </c:pt>
                      <c:pt idx="16">
                        <c:v>Mbuyi Katumba</c:v>
                      </c:pt>
                    </c:strCache>
                  </c:strRef>
                </c:cat>
                <c:val>
                  <c:numRef>
                    <c:extLst xmlns:c15="http://schemas.microsoft.com/office/drawing/2012/chart">
                      <c:ext xmlns:c15="http://schemas.microsoft.com/office/drawing/2012/chart" uri="{02D57815-91ED-43cb-92C2-25804820EDAC}">
                        <c15:formulaRef>
                          <c15:sqref>Stats!$P$9:$P$25</c15:sqref>
                        </c15:formulaRef>
                      </c:ext>
                    </c:extLst>
                    <c:numCache>
                      <c:formatCode>_-* #\ ##0_-;\-* #\ ##0_-;_-* "-"??_-;_-@_-</c:formatCode>
                      <c:ptCount val="17"/>
                      <c:pt idx="0">
                        <c:v>35</c:v>
                      </c:pt>
                      <c:pt idx="1">
                        <c:v>48</c:v>
                      </c:pt>
                      <c:pt idx="2">
                        <c:v>39</c:v>
                      </c:pt>
                      <c:pt idx="3">
                        <c:v>38</c:v>
                      </c:pt>
                      <c:pt idx="4">
                        <c:v>28</c:v>
                      </c:pt>
                      <c:pt idx="5">
                        <c:v>34</c:v>
                      </c:pt>
                      <c:pt idx="6">
                        <c:v>24</c:v>
                      </c:pt>
                      <c:pt idx="7">
                        <c:v>29</c:v>
                      </c:pt>
                      <c:pt idx="8">
                        <c:v>33</c:v>
                      </c:pt>
                      <c:pt idx="9">
                        <c:v>71</c:v>
                      </c:pt>
                      <c:pt idx="10">
                        <c:v>29</c:v>
                      </c:pt>
                      <c:pt idx="11">
                        <c:v>45</c:v>
                      </c:pt>
                      <c:pt idx="12">
                        <c:v>31</c:v>
                      </c:pt>
                      <c:pt idx="13">
                        <c:v>28</c:v>
                      </c:pt>
                      <c:pt idx="14">
                        <c:v>38</c:v>
                      </c:pt>
                      <c:pt idx="15">
                        <c:v>30</c:v>
                      </c:pt>
                      <c:pt idx="16">
                        <c:v>37</c:v>
                      </c:pt>
                    </c:numCache>
                  </c:numRef>
                </c:val>
                <c:extLst xmlns:c15="http://schemas.microsoft.com/office/drawing/2012/chart">
                  <c:ext xmlns:c16="http://schemas.microsoft.com/office/drawing/2014/chart" uri="{C3380CC4-5D6E-409C-BE32-E72D297353CC}">
                    <c16:uniqueId val="{0000000B-FF95-4DA8-A0CB-089FB7B8DF47}"/>
                  </c:ext>
                </c:extLst>
              </c15:ser>
            </c15:filteredBarSeries>
            <c15:filteredBarSeries>
              <c15:ser>
                <c:idx val="12"/>
                <c:order val="12"/>
                <c:tx>
                  <c:strRef>
                    <c:extLst xmlns:c15="http://schemas.microsoft.com/office/drawing/2012/chart">
                      <c:ext xmlns:c15="http://schemas.microsoft.com/office/drawing/2012/chart" uri="{02D57815-91ED-43cb-92C2-25804820EDAC}">
                        <c15:formulaRef>
                          <c15:sqref>Stats!$Q$8</c15:sqref>
                        </c15:formulaRef>
                      </c:ext>
                    </c:extLst>
                    <c:strCache>
                      <c:ptCount val="1"/>
                      <c:pt idx="0">
                        <c:v>GW13</c:v>
                      </c:pt>
                    </c:strCache>
                  </c:strRef>
                </c:tx>
                <c:spPr>
                  <a:gradFill rotWithShape="1">
                    <a:gsLst>
                      <a:gs pos="0">
                        <a:schemeClr val="accent1">
                          <a:lumMod val="80000"/>
                          <a:lumOff val="20000"/>
                          <a:satMod val="103000"/>
                          <a:lumMod val="102000"/>
                          <a:tint val="94000"/>
                        </a:schemeClr>
                      </a:gs>
                      <a:gs pos="50000">
                        <a:schemeClr val="accent1">
                          <a:lumMod val="80000"/>
                          <a:lumOff val="20000"/>
                          <a:satMod val="110000"/>
                          <a:lumMod val="100000"/>
                          <a:shade val="100000"/>
                        </a:schemeClr>
                      </a:gs>
                      <a:gs pos="100000">
                        <a:schemeClr val="accent1">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extLst xmlns:c15="http://schemas.microsoft.com/office/drawing/2012/chart">
                      <c:ext xmlns:c15="http://schemas.microsoft.com/office/drawing/2012/chart" uri="{02D57815-91ED-43cb-92C2-25804820EDAC}">
                        <c15:formulaRef>
                          <c15:sqref>Stats!$C$9:$C$25</c15:sqref>
                        </c15:formulaRef>
                      </c:ext>
                    </c:extLst>
                    <c:strCache>
                      <c:ptCount val="17"/>
                      <c:pt idx="0">
                        <c:v>Learnmore Ntshangase</c:v>
                      </c:pt>
                      <c:pt idx="1">
                        <c:v>Fanele Msweli</c:v>
                      </c:pt>
                      <c:pt idx="2">
                        <c:v>Lethu Mkhwanazi</c:v>
                      </c:pt>
                      <c:pt idx="3">
                        <c:v>Mhlengi Kunene</c:v>
                      </c:pt>
                      <c:pt idx="4">
                        <c:v>Minenhle Khumalo</c:v>
                      </c:pt>
                      <c:pt idx="5">
                        <c:v>Nhlakanipho Ntombela</c:v>
                      </c:pt>
                      <c:pt idx="6">
                        <c:v>Mtho Mabizela</c:v>
                      </c:pt>
                      <c:pt idx="7">
                        <c:v>Siyanda Ndaba</c:v>
                      </c:pt>
                      <c:pt idx="8">
                        <c:v>President Gamede</c:v>
                      </c:pt>
                      <c:pt idx="9">
                        <c:v>Luthando Ngidi</c:v>
                      </c:pt>
                      <c:pt idx="10">
                        <c:v>Kudzai Kupeta</c:v>
                      </c:pt>
                      <c:pt idx="11">
                        <c:v>Thembalethu Miya</c:v>
                      </c:pt>
                      <c:pt idx="12">
                        <c:v>Nkosi The Chef</c:v>
                      </c:pt>
                      <c:pt idx="13">
                        <c:v>Sthe Coqueto</c:v>
                      </c:pt>
                      <c:pt idx="14">
                        <c:v>Bheka Bhengu</c:v>
                      </c:pt>
                      <c:pt idx="15">
                        <c:v>Thato Choshi</c:v>
                      </c:pt>
                      <c:pt idx="16">
                        <c:v>Mbuyi Katumba</c:v>
                      </c:pt>
                    </c:strCache>
                  </c:strRef>
                </c:cat>
                <c:val>
                  <c:numRef>
                    <c:extLst xmlns:c15="http://schemas.microsoft.com/office/drawing/2012/chart">
                      <c:ext xmlns:c15="http://schemas.microsoft.com/office/drawing/2012/chart" uri="{02D57815-91ED-43cb-92C2-25804820EDAC}">
                        <c15:formulaRef>
                          <c15:sqref>Stats!$Q$9:$Q$25</c15:sqref>
                        </c15:formulaRef>
                      </c:ext>
                    </c:extLst>
                    <c:numCache>
                      <c:formatCode>_-* #\ ##0_-;\-* #\ ##0_-;_-* "-"??_-;_-@_-</c:formatCode>
                      <c:ptCount val="17"/>
                      <c:pt idx="0">
                        <c:v>26</c:v>
                      </c:pt>
                      <c:pt idx="1">
                        <c:v>29</c:v>
                      </c:pt>
                      <c:pt idx="2">
                        <c:v>48</c:v>
                      </c:pt>
                      <c:pt idx="3">
                        <c:v>50</c:v>
                      </c:pt>
                      <c:pt idx="4">
                        <c:v>27</c:v>
                      </c:pt>
                      <c:pt idx="5">
                        <c:v>60</c:v>
                      </c:pt>
                      <c:pt idx="6">
                        <c:v>34</c:v>
                      </c:pt>
                      <c:pt idx="7">
                        <c:v>50</c:v>
                      </c:pt>
                      <c:pt idx="8">
                        <c:v>30</c:v>
                      </c:pt>
                      <c:pt idx="9">
                        <c:v>17</c:v>
                      </c:pt>
                      <c:pt idx="10">
                        <c:v>34</c:v>
                      </c:pt>
                      <c:pt idx="11">
                        <c:v>59</c:v>
                      </c:pt>
                      <c:pt idx="12">
                        <c:v>74</c:v>
                      </c:pt>
                      <c:pt idx="13">
                        <c:v>28</c:v>
                      </c:pt>
                      <c:pt idx="14">
                        <c:v>40</c:v>
                      </c:pt>
                      <c:pt idx="15">
                        <c:v>43</c:v>
                      </c:pt>
                      <c:pt idx="16">
                        <c:v>40</c:v>
                      </c:pt>
                    </c:numCache>
                  </c:numRef>
                </c:val>
                <c:extLst xmlns:c15="http://schemas.microsoft.com/office/drawing/2012/chart">
                  <c:ext xmlns:c16="http://schemas.microsoft.com/office/drawing/2014/chart" uri="{C3380CC4-5D6E-409C-BE32-E72D297353CC}">
                    <c16:uniqueId val="{0000000C-FF95-4DA8-A0CB-089FB7B8DF47}"/>
                  </c:ext>
                </c:extLst>
              </c15:ser>
            </c15:filteredBarSeries>
            <c15:filteredBarSeries>
              <c15:ser>
                <c:idx val="13"/>
                <c:order val="13"/>
                <c:tx>
                  <c:strRef>
                    <c:extLst xmlns:c15="http://schemas.microsoft.com/office/drawing/2012/chart">
                      <c:ext xmlns:c15="http://schemas.microsoft.com/office/drawing/2012/chart" uri="{02D57815-91ED-43cb-92C2-25804820EDAC}">
                        <c15:formulaRef>
                          <c15:sqref>Stats!$R$8</c15:sqref>
                        </c15:formulaRef>
                      </c:ext>
                    </c:extLst>
                    <c:strCache>
                      <c:ptCount val="1"/>
                      <c:pt idx="0">
                        <c:v>GW14</c:v>
                      </c:pt>
                    </c:strCache>
                  </c:strRef>
                </c:tx>
                <c:spPr>
                  <a:gradFill rotWithShape="1">
                    <a:gsLst>
                      <a:gs pos="0">
                        <a:schemeClr val="accent2">
                          <a:lumMod val="80000"/>
                          <a:lumOff val="20000"/>
                          <a:satMod val="103000"/>
                          <a:lumMod val="102000"/>
                          <a:tint val="94000"/>
                        </a:schemeClr>
                      </a:gs>
                      <a:gs pos="50000">
                        <a:schemeClr val="accent2">
                          <a:lumMod val="80000"/>
                          <a:lumOff val="20000"/>
                          <a:satMod val="110000"/>
                          <a:lumMod val="100000"/>
                          <a:shade val="100000"/>
                        </a:schemeClr>
                      </a:gs>
                      <a:gs pos="100000">
                        <a:schemeClr val="accent2">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extLst xmlns:c15="http://schemas.microsoft.com/office/drawing/2012/chart">
                      <c:ext xmlns:c15="http://schemas.microsoft.com/office/drawing/2012/chart" uri="{02D57815-91ED-43cb-92C2-25804820EDAC}">
                        <c15:formulaRef>
                          <c15:sqref>Stats!$C$9:$C$25</c15:sqref>
                        </c15:formulaRef>
                      </c:ext>
                    </c:extLst>
                    <c:strCache>
                      <c:ptCount val="17"/>
                      <c:pt idx="0">
                        <c:v>Learnmore Ntshangase</c:v>
                      </c:pt>
                      <c:pt idx="1">
                        <c:v>Fanele Msweli</c:v>
                      </c:pt>
                      <c:pt idx="2">
                        <c:v>Lethu Mkhwanazi</c:v>
                      </c:pt>
                      <c:pt idx="3">
                        <c:v>Mhlengi Kunene</c:v>
                      </c:pt>
                      <c:pt idx="4">
                        <c:v>Minenhle Khumalo</c:v>
                      </c:pt>
                      <c:pt idx="5">
                        <c:v>Nhlakanipho Ntombela</c:v>
                      </c:pt>
                      <c:pt idx="6">
                        <c:v>Mtho Mabizela</c:v>
                      </c:pt>
                      <c:pt idx="7">
                        <c:v>Siyanda Ndaba</c:v>
                      </c:pt>
                      <c:pt idx="8">
                        <c:v>President Gamede</c:v>
                      </c:pt>
                      <c:pt idx="9">
                        <c:v>Luthando Ngidi</c:v>
                      </c:pt>
                      <c:pt idx="10">
                        <c:v>Kudzai Kupeta</c:v>
                      </c:pt>
                      <c:pt idx="11">
                        <c:v>Thembalethu Miya</c:v>
                      </c:pt>
                      <c:pt idx="12">
                        <c:v>Nkosi The Chef</c:v>
                      </c:pt>
                      <c:pt idx="13">
                        <c:v>Sthe Coqueto</c:v>
                      </c:pt>
                      <c:pt idx="14">
                        <c:v>Bheka Bhengu</c:v>
                      </c:pt>
                      <c:pt idx="15">
                        <c:v>Thato Choshi</c:v>
                      </c:pt>
                      <c:pt idx="16">
                        <c:v>Mbuyi Katumba</c:v>
                      </c:pt>
                    </c:strCache>
                  </c:strRef>
                </c:cat>
                <c:val>
                  <c:numRef>
                    <c:extLst xmlns:c15="http://schemas.microsoft.com/office/drawing/2012/chart">
                      <c:ext xmlns:c15="http://schemas.microsoft.com/office/drawing/2012/chart" uri="{02D57815-91ED-43cb-92C2-25804820EDAC}">
                        <c15:formulaRef>
                          <c15:sqref>Stats!$R$9:$R$25</c15:sqref>
                        </c15:formulaRef>
                      </c:ext>
                    </c:extLst>
                    <c:numCache>
                      <c:formatCode>_-* #\ ##0_-;\-* #\ ##0_-;_-* "-"??_-;_-@_-</c:formatCode>
                      <c:ptCount val="17"/>
                      <c:pt idx="0">
                        <c:v>63</c:v>
                      </c:pt>
                      <c:pt idx="1">
                        <c:v>68</c:v>
                      </c:pt>
                      <c:pt idx="2">
                        <c:v>80</c:v>
                      </c:pt>
                      <c:pt idx="3">
                        <c:v>56</c:v>
                      </c:pt>
                      <c:pt idx="4">
                        <c:v>53</c:v>
                      </c:pt>
                      <c:pt idx="5">
                        <c:v>75</c:v>
                      </c:pt>
                      <c:pt idx="6">
                        <c:v>74</c:v>
                      </c:pt>
                      <c:pt idx="7">
                        <c:v>87</c:v>
                      </c:pt>
                      <c:pt idx="8">
                        <c:v>57</c:v>
                      </c:pt>
                      <c:pt idx="9">
                        <c:v>47</c:v>
                      </c:pt>
                      <c:pt idx="10">
                        <c:v>70</c:v>
                      </c:pt>
                      <c:pt idx="11">
                        <c:v>55</c:v>
                      </c:pt>
                      <c:pt idx="12">
                        <c:v>55</c:v>
                      </c:pt>
                      <c:pt idx="13">
                        <c:v>62</c:v>
                      </c:pt>
                      <c:pt idx="14">
                        <c:v>87</c:v>
                      </c:pt>
                      <c:pt idx="15">
                        <c:v>69</c:v>
                      </c:pt>
                      <c:pt idx="16">
                        <c:v>73</c:v>
                      </c:pt>
                    </c:numCache>
                  </c:numRef>
                </c:val>
                <c:extLst xmlns:c15="http://schemas.microsoft.com/office/drawing/2012/chart">
                  <c:ext xmlns:c16="http://schemas.microsoft.com/office/drawing/2014/chart" uri="{C3380CC4-5D6E-409C-BE32-E72D297353CC}">
                    <c16:uniqueId val="{0000000D-FF95-4DA8-A0CB-089FB7B8DF47}"/>
                  </c:ext>
                </c:extLst>
              </c15:ser>
            </c15:filteredBarSeries>
            <c15:filteredBarSeries>
              <c15:ser>
                <c:idx val="14"/>
                <c:order val="14"/>
                <c:tx>
                  <c:strRef>
                    <c:extLst xmlns:c15="http://schemas.microsoft.com/office/drawing/2012/chart">
                      <c:ext xmlns:c15="http://schemas.microsoft.com/office/drawing/2012/chart" uri="{02D57815-91ED-43cb-92C2-25804820EDAC}">
                        <c15:formulaRef>
                          <c15:sqref>Stats!$S$8</c15:sqref>
                        </c15:formulaRef>
                      </c:ext>
                    </c:extLst>
                    <c:strCache>
                      <c:ptCount val="1"/>
                      <c:pt idx="0">
                        <c:v>GW15</c:v>
                      </c:pt>
                    </c:strCache>
                  </c:strRef>
                </c:tx>
                <c:spPr>
                  <a:gradFill rotWithShape="1">
                    <a:gsLst>
                      <a:gs pos="0">
                        <a:schemeClr val="accent3">
                          <a:lumMod val="80000"/>
                          <a:lumOff val="20000"/>
                          <a:satMod val="103000"/>
                          <a:lumMod val="102000"/>
                          <a:tint val="94000"/>
                        </a:schemeClr>
                      </a:gs>
                      <a:gs pos="50000">
                        <a:schemeClr val="accent3">
                          <a:lumMod val="80000"/>
                          <a:lumOff val="20000"/>
                          <a:satMod val="110000"/>
                          <a:lumMod val="100000"/>
                          <a:shade val="100000"/>
                        </a:schemeClr>
                      </a:gs>
                      <a:gs pos="100000">
                        <a:schemeClr val="accent3">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extLst xmlns:c15="http://schemas.microsoft.com/office/drawing/2012/chart">
                      <c:ext xmlns:c15="http://schemas.microsoft.com/office/drawing/2012/chart" uri="{02D57815-91ED-43cb-92C2-25804820EDAC}">
                        <c15:formulaRef>
                          <c15:sqref>Stats!$C$9:$C$25</c15:sqref>
                        </c15:formulaRef>
                      </c:ext>
                    </c:extLst>
                    <c:strCache>
                      <c:ptCount val="17"/>
                      <c:pt idx="0">
                        <c:v>Learnmore Ntshangase</c:v>
                      </c:pt>
                      <c:pt idx="1">
                        <c:v>Fanele Msweli</c:v>
                      </c:pt>
                      <c:pt idx="2">
                        <c:v>Lethu Mkhwanazi</c:v>
                      </c:pt>
                      <c:pt idx="3">
                        <c:v>Mhlengi Kunene</c:v>
                      </c:pt>
                      <c:pt idx="4">
                        <c:v>Minenhle Khumalo</c:v>
                      </c:pt>
                      <c:pt idx="5">
                        <c:v>Nhlakanipho Ntombela</c:v>
                      </c:pt>
                      <c:pt idx="6">
                        <c:v>Mtho Mabizela</c:v>
                      </c:pt>
                      <c:pt idx="7">
                        <c:v>Siyanda Ndaba</c:v>
                      </c:pt>
                      <c:pt idx="8">
                        <c:v>President Gamede</c:v>
                      </c:pt>
                      <c:pt idx="9">
                        <c:v>Luthando Ngidi</c:v>
                      </c:pt>
                      <c:pt idx="10">
                        <c:v>Kudzai Kupeta</c:v>
                      </c:pt>
                      <c:pt idx="11">
                        <c:v>Thembalethu Miya</c:v>
                      </c:pt>
                      <c:pt idx="12">
                        <c:v>Nkosi The Chef</c:v>
                      </c:pt>
                      <c:pt idx="13">
                        <c:v>Sthe Coqueto</c:v>
                      </c:pt>
                      <c:pt idx="14">
                        <c:v>Bheka Bhengu</c:v>
                      </c:pt>
                      <c:pt idx="15">
                        <c:v>Thato Choshi</c:v>
                      </c:pt>
                      <c:pt idx="16">
                        <c:v>Mbuyi Katumba</c:v>
                      </c:pt>
                    </c:strCache>
                  </c:strRef>
                </c:cat>
                <c:val>
                  <c:numRef>
                    <c:extLst xmlns:c15="http://schemas.microsoft.com/office/drawing/2012/chart">
                      <c:ext xmlns:c15="http://schemas.microsoft.com/office/drawing/2012/chart" uri="{02D57815-91ED-43cb-92C2-25804820EDAC}">
                        <c15:formulaRef>
                          <c15:sqref>Stats!$S$9:$S$25</c15:sqref>
                        </c15:formulaRef>
                      </c:ext>
                    </c:extLst>
                    <c:numCache>
                      <c:formatCode>_-* #\ ##0_-;\-* #\ ##0_-;_-* "-"??_-;_-@_-</c:formatCode>
                      <c:ptCount val="17"/>
                      <c:pt idx="0">
                        <c:v>56</c:v>
                      </c:pt>
                      <c:pt idx="1">
                        <c:v>42</c:v>
                      </c:pt>
                      <c:pt idx="2">
                        <c:v>71</c:v>
                      </c:pt>
                      <c:pt idx="3">
                        <c:v>60</c:v>
                      </c:pt>
                      <c:pt idx="4">
                        <c:v>47</c:v>
                      </c:pt>
                      <c:pt idx="5">
                        <c:v>52</c:v>
                      </c:pt>
                      <c:pt idx="6">
                        <c:v>67</c:v>
                      </c:pt>
                      <c:pt idx="7">
                        <c:v>57</c:v>
                      </c:pt>
                      <c:pt idx="8">
                        <c:v>46</c:v>
                      </c:pt>
                      <c:pt idx="9">
                        <c:v>61</c:v>
                      </c:pt>
                      <c:pt idx="10">
                        <c:v>39</c:v>
                      </c:pt>
                      <c:pt idx="11">
                        <c:v>53</c:v>
                      </c:pt>
                      <c:pt idx="12">
                        <c:v>68</c:v>
                      </c:pt>
                      <c:pt idx="13">
                        <c:v>40</c:v>
                      </c:pt>
                      <c:pt idx="14">
                        <c:v>43</c:v>
                      </c:pt>
                      <c:pt idx="15">
                        <c:v>52</c:v>
                      </c:pt>
                      <c:pt idx="16">
                        <c:v>57</c:v>
                      </c:pt>
                    </c:numCache>
                  </c:numRef>
                </c:val>
                <c:extLst xmlns:c15="http://schemas.microsoft.com/office/drawing/2012/chart">
                  <c:ext xmlns:c16="http://schemas.microsoft.com/office/drawing/2014/chart" uri="{C3380CC4-5D6E-409C-BE32-E72D297353CC}">
                    <c16:uniqueId val="{0000000E-FF95-4DA8-A0CB-089FB7B8DF47}"/>
                  </c:ext>
                </c:extLst>
              </c15:ser>
            </c15:filteredBarSeries>
            <c15:filteredBarSeries>
              <c15:ser>
                <c:idx val="15"/>
                <c:order val="15"/>
                <c:tx>
                  <c:strRef>
                    <c:extLst xmlns:c15="http://schemas.microsoft.com/office/drawing/2012/chart">
                      <c:ext xmlns:c15="http://schemas.microsoft.com/office/drawing/2012/chart" uri="{02D57815-91ED-43cb-92C2-25804820EDAC}">
                        <c15:formulaRef>
                          <c15:sqref>Stats!$T$8</c15:sqref>
                        </c15:formulaRef>
                      </c:ext>
                    </c:extLst>
                    <c:strCache>
                      <c:ptCount val="1"/>
                      <c:pt idx="0">
                        <c:v>GW16</c:v>
                      </c:pt>
                    </c:strCache>
                  </c:strRef>
                </c:tx>
                <c:spPr>
                  <a:gradFill rotWithShape="1">
                    <a:gsLst>
                      <a:gs pos="0">
                        <a:schemeClr val="accent4">
                          <a:lumMod val="80000"/>
                          <a:lumOff val="20000"/>
                          <a:satMod val="103000"/>
                          <a:lumMod val="102000"/>
                          <a:tint val="94000"/>
                        </a:schemeClr>
                      </a:gs>
                      <a:gs pos="50000">
                        <a:schemeClr val="accent4">
                          <a:lumMod val="80000"/>
                          <a:lumOff val="20000"/>
                          <a:satMod val="110000"/>
                          <a:lumMod val="100000"/>
                          <a:shade val="100000"/>
                        </a:schemeClr>
                      </a:gs>
                      <a:gs pos="100000">
                        <a:schemeClr val="accent4">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extLst xmlns:c15="http://schemas.microsoft.com/office/drawing/2012/chart">
                      <c:ext xmlns:c15="http://schemas.microsoft.com/office/drawing/2012/chart" uri="{02D57815-91ED-43cb-92C2-25804820EDAC}">
                        <c15:formulaRef>
                          <c15:sqref>Stats!$C$9:$C$25</c15:sqref>
                        </c15:formulaRef>
                      </c:ext>
                    </c:extLst>
                    <c:strCache>
                      <c:ptCount val="17"/>
                      <c:pt idx="0">
                        <c:v>Learnmore Ntshangase</c:v>
                      </c:pt>
                      <c:pt idx="1">
                        <c:v>Fanele Msweli</c:v>
                      </c:pt>
                      <c:pt idx="2">
                        <c:v>Lethu Mkhwanazi</c:v>
                      </c:pt>
                      <c:pt idx="3">
                        <c:v>Mhlengi Kunene</c:v>
                      </c:pt>
                      <c:pt idx="4">
                        <c:v>Minenhle Khumalo</c:v>
                      </c:pt>
                      <c:pt idx="5">
                        <c:v>Nhlakanipho Ntombela</c:v>
                      </c:pt>
                      <c:pt idx="6">
                        <c:v>Mtho Mabizela</c:v>
                      </c:pt>
                      <c:pt idx="7">
                        <c:v>Siyanda Ndaba</c:v>
                      </c:pt>
                      <c:pt idx="8">
                        <c:v>President Gamede</c:v>
                      </c:pt>
                      <c:pt idx="9">
                        <c:v>Luthando Ngidi</c:v>
                      </c:pt>
                      <c:pt idx="10">
                        <c:v>Kudzai Kupeta</c:v>
                      </c:pt>
                      <c:pt idx="11">
                        <c:v>Thembalethu Miya</c:v>
                      </c:pt>
                      <c:pt idx="12">
                        <c:v>Nkosi The Chef</c:v>
                      </c:pt>
                      <c:pt idx="13">
                        <c:v>Sthe Coqueto</c:v>
                      </c:pt>
                      <c:pt idx="14">
                        <c:v>Bheka Bhengu</c:v>
                      </c:pt>
                      <c:pt idx="15">
                        <c:v>Thato Choshi</c:v>
                      </c:pt>
                      <c:pt idx="16">
                        <c:v>Mbuyi Katumba</c:v>
                      </c:pt>
                    </c:strCache>
                  </c:strRef>
                </c:cat>
                <c:val>
                  <c:numRef>
                    <c:extLst xmlns:c15="http://schemas.microsoft.com/office/drawing/2012/chart">
                      <c:ext xmlns:c15="http://schemas.microsoft.com/office/drawing/2012/chart" uri="{02D57815-91ED-43cb-92C2-25804820EDAC}">
                        <c15:formulaRef>
                          <c15:sqref>Stats!$T$9:$T$25</c15:sqref>
                        </c15:formulaRef>
                      </c:ext>
                    </c:extLst>
                    <c:numCache>
                      <c:formatCode>_-* #\ ##0_-;\-* #\ ##0_-;_-* "-"??_-;_-@_-</c:formatCode>
                      <c:ptCount val="17"/>
                      <c:pt idx="0">
                        <c:v>78</c:v>
                      </c:pt>
                      <c:pt idx="1">
                        <c:v>54</c:v>
                      </c:pt>
                      <c:pt idx="2">
                        <c:v>92</c:v>
                      </c:pt>
                      <c:pt idx="3">
                        <c:v>64</c:v>
                      </c:pt>
                      <c:pt idx="4">
                        <c:v>63</c:v>
                      </c:pt>
                      <c:pt idx="5">
                        <c:v>73</c:v>
                      </c:pt>
                      <c:pt idx="6">
                        <c:v>85</c:v>
                      </c:pt>
                      <c:pt idx="7">
                        <c:v>76</c:v>
                      </c:pt>
                      <c:pt idx="8">
                        <c:v>76</c:v>
                      </c:pt>
                      <c:pt idx="9">
                        <c:v>67</c:v>
                      </c:pt>
                      <c:pt idx="10">
                        <c:v>73</c:v>
                      </c:pt>
                      <c:pt idx="11">
                        <c:v>76</c:v>
                      </c:pt>
                      <c:pt idx="12">
                        <c:v>91</c:v>
                      </c:pt>
                      <c:pt idx="13">
                        <c:v>57</c:v>
                      </c:pt>
                      <c:pt idx="14">
                        <c:v>66</c:v>
                      </c:pt>
                      <c:pt idx="15">
                        <c:v>61</c:v>
                      </c:pt>
                      <c:pt idx="16">
                        <c:v>62</c:v>
                      </c:pt>
                    </c:numCache>
                  </c:numRef>
                </c:val>
                <c:extLst xmlns:c15="http://schemas.microsoft.com/office/drawing/2012/chart">
                  <c:ext xmlns:c16="http://schemas.microsoft.com/office/drawing/2014/chart" uri="{C3380CC4-5D6E-409C-BE32-E72D297353CC}">
                    <c16:uniqueId val="{0000000F-FF95-4DA8-A0CB-089FB7B8DF47}"/>
                  </c:ext>
                </c:extLst>
              </c15:ser>
            </c15:filteredBarSeries>
            <c15:filteredBarSeries>
              <c15:ser>
                <c:idx val="16"/>
                <c:order val="16"/>
                <c:tx>
                  <c:strRef>
                    <c:extLst xmlns:c15="http://schemas.microsoft.com/office/drawing/2012/chart">
                      <c:ext xmlns:c15="http://schemas.microsoft.com/office/drawing/2012/chart" uri="{02D57815-91ED-43cb-92C2-25804820EDAC}">
                        <c15:formulaRef>
                          <c15:sqref>Stats!$U$8</c15:sqref>
                        </c15:formulaRef>
                      </c:ext>
                    </c:extLst>
                    <c:strCache>
                      <c:ptCount val="1"/>
                      <c:pt idx="0">
                        <c:v>GW17</c:v>
                      </c:pt>
                    </c:strCache>
                  </c:strRef>
                </c:tx>
                <c:spPr>
                  <a:gradFill rotWithShape="1">
                    <a:gsLst>
                      <a:gs pos="0">
                        <a:schemeClr val="accent5">
                          <a:lumMod val="80000"/>
                          <a:lumOff val="20000"/>
                          <a:satMod val="103000"/>
                          <a:lumMod val="102000"/>
                          <a:tint val="94000"/>
                        </a:schemeClr>
                      </a:gs>
                      <a:gs pos="50000">
                        <a:schemeClr val="accent5">
                          <a:lumMod val="80000"/>
                          <a:lumOff val="20000"/>
                          <a:satMod val="110000"/>
                          <a:lumMod val="100000"/>
                          <a:shade val="100000"/>
                        </a:schemeClr>
                      </a:gs>
                      <a:gs pos="100000">
                        <a:schemeClr val="accent5">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extLst xmlns:c15="http://schemas.microsoft.com/office/drawing/2012/chart">
                      <c:ext xmlns:c15="http://schemas.microsoft.com/office/drawing/2012/chart" uri="{02D57815-91ED-43cb-92C2-25804820EDAC}">
                        <c15:formulaRef>
                          <c15:sqref>Stats!$C$9:$C$25</c15:sqref>
                        </c15:formulaRef>
                      </c:ext>
                    </c:extLst>
                    <c:strCache>
                      <c:ptCount val="17"/>
                      <c:pt idx="0">
                        <c:v>Learnmore Ntshangase</c:v>
                      </c:pt>
                      <c:pt idx="1">
                        <c:v>Fanele Msweli</c:v>
                      </c:pt>
                      <c:pt idx="2">
                        <c:v>Lethu Mkhwanazi</c:v>
                      </c:pt>
                      <c:pt idx="3">
                        <c:v>Mhlengi Kunene</c:v>
                      </c:pt>
                      <c:pt idx="4">
                        <c:v>Minenhle Khumalo</c:v>
                      </c:pt>
                      <c:pt idx="5">
                        <c:v>Nhlakanipho Ntombela</c:v>
                      </c:pt>
                      <c:pt idx="6">
                        <c:v>Mtho Mabizela</c:v>
                      </c:pt>
                      <c:pt idx="7">
                        <c:v>Siyanda Ndaba</c:v>
                      </c:pt>
                      <c:pt idx="8">
                        <c:v>President Gamede</c:v>
                      </c:pt>
                      <c:pt idx="9">
                        <c:v>Luthando Ngidi</c:v>
                      </c:pt>
                      <c:pt idx="10">
                        <c:v>Kudzai Kupeta</c:v>
                      </c:pt>
                      <c:pt idx="11">
                        <c:v>Thembalethu Miya</c:v>
                      </c:pt>
                      <c:pt idx="12">
                        <c:v>Nkosi The Chef</c:v>
                      </c:pt>
                      <c:pt idx="13">
                        <c:v>Sthe Coqueto</c:v>
                      </c:pt>
                      <c:pt idx="14">
                        <c:v>Bheka Bhengu</c:v>
                      </c:pt>
                      <c:pt idx="15">
                        <c:v>Thato Choshi</c:v>
                      </c:pt>
                      <c:pt idx="16">
                        <c:v>Mbuyi Katumba</c:v>
                      </c:pt>
                    </c:strCache>
                  </c:strRef>
                </c:cat>
                <c:val>
                  <c:numRef>
                    <c:extLst xmlns:c15="http://schemas.microsoft.com/office/drawing/2012/chart">
                      <c:ext xmlns:c15="http://schemas.microsoft.com/office/drawing/2012/chart" uri="{02D57815-91ED-43cb-92C2-25804820EDAC}">
                        <c15:formulaRef>
                          <c15:sqref>Stats!$U$9:$U$25</c15:sqref>
                        </c15:formulaRef>
                      </c:ext>
                    </c:extLst>
                    <c:numCache>
                      <c:formatCode>_-* #\ ##0_-;\-* #\ ##0_-;_-* "-"??_-;_-@_-</c:formatCode>
                      <c:ptCount val="17"/>
                      <c:pt idx="0">
                        <c:v>69</c:v>
                      </c:pt>
                      <c:pt idx="1">
                        <c:v>67</c:v>
                      </c:pt>
                      <c:pt idx="2">
                        <c:v>100</c:v>
                      </c:pt>
                      <c:pt idx="3">
                        <c:v>79</c:v>
                      </c:pt>
                      <c:pt idx="4">
                        <c:v>78</c:v>
                      </c:pt>
                      <c:pt idx="5">
                        <c:v>65</c:v>
                      </c:pt>
                      <c:pt idx="6">
                        <c:v>80</c:v>
                      </c:pt>
                      <c:pt idx="7">
                        <c:v>74</c:v>
                      </c:pt>
                      <c:pt idx="8">
                        <c:v>64</c:v>
                      </c:pt>
                      <c:pt idx="9">
                        <c:v>82</c:v>
                      </c:pt>
                      <c:pt idx="10">
                        <c:v>80</c:v>
                      </c:pt>
                      <c:pt idx="11">
                        <c:v>79</c:v>
                      </c:pt>
                      <c:pt idx="12">
                        <c:v>90</c:v>
                      </c:pt>
                      <c:pt idx="13">
                        <c:v>72</c:v>
                      </c:pt>
                      <c:pt idx="14">
                        <c:v>80</c:v>
                      </c:pt>
                      <c:pt idx="15">
                        <c:v>94</c:v>
                      </c:pt>
                      <c:pt idx="16">
                        <c:v>77</c:v>
                      </c:pt>
                    </c:numCache>
                  </c:numRef>
                </c:val>
                <c:extLst xmlns:c15="http://schemas.microsoft.com/office/drawing/2012/chart">
                  <c:ext xmlns:c16="http://schemas.microsoft.com/office/drawing/2014/chart" uri="{C3380CC4-5D6E-409C-BE32-E72D297353CC}">
                    <c16:uniqueId val="{00000010-FF95-4DA8-A0CB-089FB7B8DF47}"/>
                  </c:ext>
                </c:extLst>
              </c15:ser>
            </c15:filteredBarSeries>
            <c15:filteredBarSeries>
              <c15:ser>
                <c:idx val="17"/>
                <c:order val="17"/>
                <c:tx>
                  <c:strRef>
                    <c:extLst xmlns:c15="http://schemas.microsoft.com/office/drawing/2012/chart">
                      <c:ext xmlns:c15="http://schemas.microsoft.com/office/drawing/2012/chart" uri="{02D57815-91ED-43cb-92C2-25804820EDAC}">
                        <c15:formulaRef>
                          <c15:sqref>Stats!$V$8</c15:sqref>
                        </c15:formulaRef>
                      </c:ext>
                    </c:extLst>
                    <c:strCache>
                      <c:ptCount val="1"/>
                      <c:pt idx="0">
                        <c:v>GW18</c:v>
                      </c:pt>
                    </c:strCache>
                  </c:strRef>
                </c:tx>
                <c:spPr>
                  <a:gradFill rotWithShape="1">
                    <a:gsLst>
                      <a:gs pos="0">
                        <a:schemeClr val="accent6">
                          <a:lumMod val="80000"/>
                          <a:lumOff val="20000"/>
                          <a:satMod val="103000"/>
                          <a:lumMod val="102000"/>
                          <a:tint val="94000"/>
                        </a:schemeClr>
                      </a:gs>
                      <a:gs pos="50000">
                        <a:schemeClr val="accent6">
                          <a:lumMod val="80000"/>
                          <a:lumOff val="20000"/>
                          <a:satMod val="110000"/>
                          <a:lumMod val="100000"/>
                          <a:shade val="100000"/>
                        </a:schemeClr>
                      </a:gs>
                      <a:gs pos="100000">
                        <a:schemeClr val="accent6">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extLst xmlns:c15="http://schemas.microsoft.com/office/drawing/2012/chart">
                      <c:ext xmlns:c15="http://schemas.microsoft.com/office/drawing/2012/chart" uri="{02D57815-91ED-43cb-92C2-25804820EDAC}">
                        <c15:formulaRef>
                          <c15:sqref>Stats!$C$9:$C$25</c15:sqref>
                        </c15:formulaRef>
                      </c:ext>
                    </c:extLst>
                    <c:strCache>
                      <c:ptCount val="17"/>
                      <c:pt idx="0">
                        <c:v>Learnmore Ntshangase</c:v>
                      </c:pt>
                      <c:pt idx="1">
                        <c:v>Fanele Msweli</c:v>
                      </c:pt>
                      <c:pt idx="2">
                        <c:v>Lethu Mkhwanazi</c:v>
                      </c:pt>
                      <c:pt idx="3">
                        <c:v>Mhlengi Kunene</c:v>
                      </c:pt>
                      <c:pt idx="4">
                        <c:v>Minenhle Khumalo</c:v>
                      </c:pt>
                      <c:pt idx="5">
                        <c:v>Nhlakanipho Ntombela</c:v>
                      </c:pt>
                      <c:pt idx="6">
                        <c:v>Mtho Mabizela</c:v>
                      </c:pt>
                      <c:pt idx="7">
                        <c:v>Siyanda Ndaba</c:v>
                      </c:pt>
                      <c:pt idx="8">
                        <c:v>President Gamede</c:v>
                      </c:pt>
                      <c:pt idx="9">
                        <c:v>Luthando Ngidi</c:v>
                      </c:pt>
                      <c:pt idx="10">
                        <c:v>Kudzai Kupeta</c:v>
                      </c:pt>
                      <c:pt idx="11">
                        <c:v>Thembalethu Miya</c:v>
                      </c:pt>
                      <c:pt idx="12">
                        <c:v>Nkosi The Chef</c:v>
                      </c:pt>
                      <c:pt idx="13">
                        <c:v>Sthe Coqueto</c:v>
                      </c:pt>
                      <c:pt idx="14">
                        <c:v>Bheka Bhengu</c:v>
                      </c:pt>
                      <c:pt idx="15">
                        <c:v>Thato Choshi</c:v>
                      </c:pt>
                      <c:pt idx="16">
                        <c:v>Mbuyi Katumba</c:v>
                      </c:pt>
                    </c:strCache>
                  </c:strRef>
                </c:cat>
                <c:val>
                  <c:numRef>
                    <c:extLst xmlns:c15="http://schemas.microsoft.com/office/drawing/2012/chart">
                      <c:ext xmlns:c15="http://schemas.microsoft.com/office/drawing/2012/chart" uri="{02D57815-91ED-43cb-92C2-25804820EDAC}">
                        <c15:formulaRef>
                          <c15:sqref>Stats!$V$9:$V$25</c15:sqref>
                        </c15:formulaRef>
                      </c:ext>
                    </c:extLst>
                    <c:numCache>
                      <c:formatCode>_-* #\ ##0_-;\-* #\ ##0_-;_-* "-"??_-;_-@_-</c:formatCode>
                      <c:ptCount val="17"/>
                      <c:pt idx="0">
                        <c:v>33</c:v>
                      </c:pt>
                      <c:pt idx="1">
                        <c:v>52</c:v>
                      </c:pt>
                      <c:pt idx="2">
                        <c:v>43</c:v>
                      </c:pt>
                      <c:pt idx="3">
                        <c:v>39</c:v>
                      </c:pt>
                      <c:pt idx="4">
                        <c:v>43</c:v>
                      </c:pt>
                      <c:pt idx="5">
                        <c:v>36</c:v>
                      </c:pt>
                      <c:pt idx="6">
                        <c:v>34</c:v>
                      </c:pt>
                      <c:pt idx="7">
                        <c:v>40</c:v>
                      </c:pt>
                      <c:pt idx="8">
                        <c:v>42</c:v>
                      </c:pt>
                      <c:pt idx="9">
                        <c:v>45</c:v>
                      </c:pt>
                      <c:pt idx="10">
                        <c:v>31</c:v>
                      </c:pt>
                      <c:pt idx="11">
                        <c:v>55</c:v>
                      </c:pt>
                      <c:pt idx="12">
                        <c:v>52</c:v>
                      </c:pt>
                      <c:pt idx="13">
                        <c:v>53</c:v>
                      </c:pt>
                      <c:pt idx="14">
                        <c:v>31</c:v>
                      </c:pt>
                      <c:pt idx="15">
                        <c:v>36</c:v>
                      </c:pt>
                      <c:pt idx="16">
                        <c:v>45</c:v>
                      </c:pt>
                    </c:numCache>
                  </c:numRef>
                </c:val>
                <c:extLst xmlns:c15="http://schemas.microsoft.com/office/drawing/2012/chart">
                  <c:ext xmlns:c16="http://schemas.microsoft.com/office/drawing/2014/chart" uri="{C3380CC4-5D6E-409C-BE32-E72D297353CC}">
                    <c16:uniqueId val="{00000011-FF95-4DA8-A0CB-089FB7B8DF47}"/>
                  </c:ext>
                </c:extLst>
              </c15:ser>
            </c15:filteredBarSeries>
            <c15:filteredBarSeries>
              <c15:ser>
                <c:idx val="18"/>
                <c:order val="18"/>
                <c:tx>
                  <c:strRef>
                    <c:extLst xmlns:c15="http://schemas.microsoft.com/office/drawing/2012/chart">
                      <c:ext xmlns:c15="http://schemas.microsoft.com/office/drawing/2012/chart" uri="{02D57815-91ED-43cb-92C2-25804820EDAC}">
                        <c15:formulaRef>
                          <c15:sqref>Stats!$W$8</c15:sqref>
                        </c15:formulaRef>
                      </c:ext>
                    </c:extLst>
                    <c:strCache>
                      <c:ptCount val="1"/>
                      <c:pt idx="0">
                        <c:v>GW19</c:v>
                      </c:pt>
                    </c:strCache>
                  </c:strRef>
                </c:tx>
                <c:spPr>
                  <a:gradFill rotWithShape="1">
                    <a:gsLst>
                      <a:gs pos="0">
                        <a:schemeClr val="accent1">
                          <a:lumMod val="80000"/>
                          <a:satMod val="103000"/>
                          <a:lumMod val="102000"/>
                          <a:tint val="94000"/>
                        </a:schemeClr>
                      </a:gs>
                      <a:gs pos="50000">
                        <a:schemeClr val="accent1">
                          <a:lumMod val="80000"/>
                          <a:satMod val="110000"/>
                          <a:lumMod val="100000"/>
                          <a:shade val="100000"/>
                        </a:schemeClr>
                      </a:gs>
                      <a:gs pos="100000">
                        <a:schemeClr val="accent1">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extLst xmlns:c15="http://schemas.microsoft.com/office/drawing/2012/chart">
                      <c:ext xmlns:c15="http://schemas.microsoft.com/office/drawing/2012/chart" uri="{02D57815-91ED-43cb-92C2-25804820EDAC}">
                        <c15:formulaRef>
                          <c15:sqref>Stats!$C$9:$C$25</c15:sqref>
                        </c15:formulaRef>
                      </c:ext>
                    </c:extLst>
                    <c:strCache>
                      <c:ptCount val="17"/>
                      <c:pt idx="0">
                        <c:v>Learnmore Ntshangase</c:v>
                      </c:pt>
                      <c:pt idx="1">
                        <c:v>Fanele Msweli</c:v>
                      </c:pt>
                      <c:pt idx="2">
                        <c:v>Lethu Mkhwanazi</c:v>
                      </c:pt>
                      <c:pt idx="3">
                        <c:v>Mhlengi Kunene</c:v>
                      </c:pt>
                      <c:pt idx="4">
                        <c:v>Minenhle Khumalo</c:v>
                      </c:pt>
                      <c:pt idx="5">
                        <c:v>Nhlakanipho Ntombela</c:v>
                      </c:pt>
                      <c:pt idx="6">
                        <c:v>Mtho Mabizela</c:v>
                      </c:pt>
                      <c:pt idx="7">
                        <c:v>Siyanda Ndaba</c:v>
                      </c:pt>
                      <c:pt idx="8">
                        <c:v>President Gamede</c:v>
                      </c:pt>
                      <c:pt idx="9">
                        <c:v>Luthando Ngidi</c:v>
                      </c:pt>
                      <c:pt idx="10">
                        <c:v>Kudzai Kupeta</c:v>
                      </c:pt>
                      <c:pt idx="11">
                        <c:v>Thembalethu Miya</c:v>
                      </c:pt>
                      <c:pt idx="12">
                        <c:v>Nkosi The Chef</c:v>
                      </c:pt>
                      <c:pt idx="13">
                        <c:v>Sthe Coqueto</c:v>
                      </c:pt>
                      <c:pt idx="14">
                        <c:v>Bheka Bhengu</c:v>
                      </c:pt>
                      <c:pt idx="15">
                        <c:v>Thato Choshi</c:v>
                      </c:pt>
                      <c:pt idx="16">
                        <c:v>Mbuyi Katumba</c:v>
                      </c:pt>
                    </c:strCache>
                  </c:strRef>
                </c:cat>
                <c:val>
                  <c:numRef>
                    <c:extLst xmlns:c15="http://schemas.microsoft.com/office/drawing/2012/chart">
                      <c:ext xmlns:c15="http://schemas.microsoft.com/office/drawing/2012/chart" uri="{02D57815-91ED-43cb-92C2-25804820EDAC}">
                        <c15:formulaRef>
                          <c15:sqref>Stats!$W$9:$W$25</c15:sqref>
                        </c15:formulaRef>
                      </c:ext>
                    </c:extLst>
                    <c:numCache>
                      <c:formatCode>_-* #\ ##0_-;\-* #\ ##0_-;_-* "-"??_-;_-@_-</c:formatCode>
                      <c:ptCount val="17"/>
                      <c:pt idx="0">
                        <c:v>27</c:v>
                      </c:pt>
                      <c:pt idx="1">
                        <c:v>38</c:v>
                      </c:pt>
                      <c:pt idx="2">
                        <c:v>38</c:v>
                      </c:pt>
                      <c:pt idx="3">
                        <c:v>37</c:v>
                      </c:pt>
                      <c:pt idx="4">
                        <c:v>33</c:v>
                      </c:pt>
                      <c:pt idx="5">
                        <c:v>40</c:v>
                      </c:pt>
                      <c:pt idx="6">
                        <c:v>31</c:v>
                      </c:pt>
                      <c:pt idx="7">
                        <c:v>26</c:v>
                      </c:pt>
                      <c:pt idx="8">
                        <c:v>57</c:v>
                      </c:pt>
                      <c:pt idx="9">
                        <c:v>49</c:v>
                      </c:pt>
                      <c:pt idx="10">
                        <c:v>33</c:v>
                      </c:pt>
                      <c:pt idx="11">
                        <c:v>39</c:v>
                      </c:pt>
                      <c:pt idx="12">
                        <c:v>39</c:v>
                      </c:pt>
                      <c:pt idx="13">
                        <c:v>50</c:v>
                      </c:pt>
                      <c:pt idx="14">
                        <c:v>36</c:v>
                      </c:pt>
                      <c:pt idx="15">
                        <c:v>42</c:v>
                      </c:pt>
                      <c:pt idx="16">
                        <c:v>32</c:v>
                      </c:pt>
                    </c:numCache>
                  </c:numRef>
                </c:val>
                <c:extLst xmlns:c15="http://schemas.microsoft.com/office/drawing/2012/chart">
                  <c:ext xmlns:c16="http://schemas.microsoft.com/office/drawing/2014/chart" uri="{C3380CC4-5D6E-409C-BE32-E72D297353CC}">
                    <c16:uniqueId val="{00000012-FF95-4DA8-A0CB-089FB7B8DF47}"/>
                  </c:ext>
                </c:extLst>
              </c15:ser>
            </c15:filteredBarSeries>
            <c15:filteredBarSeries>
              <c15:ser>
                <c:idx val="19"/>
                <c:order val="19"/>
                <c:tx>
                  <c:strRef>
                    <c:extLst xmlns:c15="http://schemas.microsoft.com/office/drawing/2012/chart">
                      <c:ext xmlns:c15="http://schemas.microsoft.com/office/drawing/2012/chart" uri="{02D57815-91ED-43cb-92C2-25804820EDAC}">
                        <c15:formulaRef>
                          <c15:sqref>Stats!$X$8</c15:sqref>
                        </c15:formulaRef>
                      </c:ext>
                    </c:extLst>
                    <c:strCache>
                      <c:ptCount val="1"/>
                      <c:pt idx="0">
                        <c:v>GW20</c:v>
                      </c:pt>
                    </c:strCache>
                  </c:strRef>
                </c:tx>
                <c:spPr>
                  <a:gradFill rotWithShape="1">
                    <a:gsLst>
                      <a:gs pos="0">
                        <a:schemeClr val="accent2">
                          <a:lumMod val="80000"/>
                          <a:satMod val="103000"/>
                          <a:lumMod val="102000"/>
                          <a:tint val="94000"/>
                        </a:schemeClr>
                      </a:gs>
                      <a:gs pos="50000">
                        <a:schemeClr val="accent2">
                          <a:lumMod val="80000"/>
                          <a:satMod val="110000"/>
                          <a:lumMod val="100000"/>
                          <a:shade val="100000"/>
                        </a:schemeClr>
                      </a:gs>
                      <a:gs pos="100000">
                        <a:schemeClr val="accent2">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extLst xmlns:c15="http://schemas.microsoft.com/office/drawing/2012/chart">
                      <c:ext xmlns:c15="http://schemas.microsoft.com/office/drawing/2012/chart" uri="{02D57815-91ED-43cb-92C2-25804820EDAC}">
                        <c15:formulaRef>
                          <c15:sqref>Stats!$C$9:$C$25</c15:sqref>
                        </c15:formulaRef>
                      </c:ext>
                    </c:extLst>
                    <c:strCache>
                      <c:ptCount val="17"/>
                      <c:pt idx="0">
                        <c:v>Learnmore Ntshangase</c:v>
                      </c:pt>
                      <c:pt idx="1">
                        <c:v>Fanele Msweli</c:v>
                      </c:pt>
                      <c:pt idx="2">
                        <c:v>Lethu Mkhwanazi</c:v>
                      </c:pt>
                      <c:pt idx="3">
                        <c:v>Mhlengi Kunene</c:v>
                      </c:pt>
                      <c:pt idx="4">
                        <c:v>Minenhle Khumalo</c:v>
                      </c:pt>
                      <c:pt idx="5">
                        <c:v>Nhlakanipho Ntombela</c:v>
                      </c:pt>
                      <c:pt idx="6">
                        <c:v>Mtho Mabizela</c:v>
                      </c:pt>
                      <c:pt idx="7">
                        <c:v>Siyanda Ndaba</c:v>
                      </c:pt>
                      <c:pt idx="8">
                        <c:v>President Gamede</c:v>
                      </c:pt>
                      <c:pt idx="9">
                        <c:v>Luthando Ngidi</c:v>
                      </c:pt>
                      <c:pt idx="10">
                        <c:v>Kudzai Kupeta</c:v>
                      </c:pt>
                      <c:pt idx="11">
                        <c:v>Thembalethu Miya</c:v>
                      </c:pt>
                      <c:pt idx="12">
                        <c:v>Nkosi The Chef</c:v>
                      </c:pt>
                      <c:pt idx="13">
                        <c:v>Sthe Coqueto</c:v>
                      </c:pt>
                      <c:pt idx="14">
                        <c:v>Bheka Bhengu</c:v>
                      </c:pt>
                      <c:pt idx="15">
                        <c:v>Thato Choshi</c:v>
                      </c:pt>
                      <c:pt idx="16">
                        <c:v>Mbuyi Katumba</c:v>
                      </c:pt>
                    </c:strCache>
                  </c:strRef>
                </c:cat>
                <c:val>
                  <c:numRef>
                    <c:extLst xmlns:c15="http://schemas.microsoft.com/office/drawing/2012/chart">
                      <c:ext xmlns:c15="http://schemas.microsoft.com/office/drawing/2012/chart" uri="{02D57815-91ED-43cb-92C2-25804820EDAC}">
                        <c15:formulaRef>
                          <c15:sqref>Stats!$X$9:$X$25</c15:sqref>
                        </c15:formulaRef>
                      </c:ext>
                    </c:extLst>
                    <c:numCache>
                      <c:formatCode>_-* #\ ##0_-;\-* #\ ##0_-;_-* "-"??_-;_-@_-</c:formatCode>
                      <c:ptCount val="17"/>
                      <c:pt idx="0">
                        <c:v>57</c:v>
                      </c:pt>
                      <c:pt idx="1">
                        <c:v>54</c:v>
                      </c:pt>
                      <c:pt idx="2">
                        <c:v>44</c:v>
                      </c:pt>
                      <c:pt idx="3">
                        <c:v>44</c:v>
                      </c:pt>
                      <c:pt idx="4">
                        <c:v>53</c:v>
                      </c:pt>
                      <c:pt idx="5">
                        <c:v>56</c:v>
                      </c:pt>
                      <c:pt idx="6">
                        <c:v>41</c:v>
                      </c:pt>
                      <c:pt idx="7">
                        <c:v>49</c:v>
                      </c:pt>
                      <c:pt idx="8">
                        <c:v>43</c:v>
                      </c:pt>
                      <c:pt idx="9">
                        <c:v>67</c:v>
                      </c:pt>
                      <c:pt idx="10">
                        <c:v>33</c:v>
                      </c:pt>
                      <c:pt idx="11">
                        <c:v>42</c:v>
                      </c:pt>
                      <c:pt idx="12">
                        <c:v>43</c:v>
                      </c:pt>
                      <c:pt idx="13">
                        <c:v>52</c:v>
                      </c:pt>
                      <c:pt idx="14">
                        <c:v>39</c:v>
                      </c:pt>
                      <c:pt idx="15">
                        <c:v>63</c:v>
                      </c:pt>
                      <c:pt idx="16">
                        <c:v>51</c:v>
                      </c:pt>
                    </c:numCache>
                  </c:numRef>
                </c:val>
                <c:extLst xmlns:c15="http://schemas.microsoft.com/office/drawing/2012/chart">
                  <c:ext xmlns:c16="http://schemas.microsoft.com/office/drawing/2014/chart" uri="{C3380CC4-5D6E-409C-BE32-E72D297353CC}">
                    <c16:uniqueId val="{00000013-FF95-4DA8-A0CB-089FB7B8DF47}"/>
                  </c:ext>
                </c:extLst>
              </c15:ser>
            </c15:filteredBarSeries>
            <c15:filteredBarSeries>
              <c15:ser>
                <c:idx val="20"/>
                <c:order val="20"/>
                <c:tx>
                  <c:strRef>
                    <c:extLst xmlns:c15="http://schemas.microsoft.com/office/drawing/2012/chart">
                      <c:ext xmlns:c15="http://schemas.microsoft.com/office/drawing/2012/chart" uri="{02D57815-91ED-43cb-92C2-25804820EDAC}">
                        <c15:formulaRef>
                          <c15:sqref>Stats!$Y$8</c15:sqref>
                        </c15:formulaRef>
                      </c:ext>
                    </c:extLst>
                    <c:strCache>
                      <c:ptCount val="1"/>
                      <c:pt idx="0">
                        <c:v>GW21</c:v>
                      </c:pt>
                    </c:strCache>
                  </c:strRef>
                </c:tx>
                <c:spPr>
                  <a:gradFill rotWithShape="1">
                    <a:gsLst>
                      <a:gs pos="0">
                        <a:schemeClr val="accent3">
                          <a:lumMod val="80000"/>
                          <a:satMod val="103000"/>
                          <a:lumMod val="102000"/>
                          <a:tint val="94000"/>
                        </a:schemeClr>
                      </a:gs>
                      <a:gs pos="50000">
                        <a:schemeClr val="accent3">
                          <a:lumMod val="80000"/>
                          <a:satMod val="110000"/>
                          <a:lumMod val="100000"/>
                          <a:shade val="100000"/>
                        </a:schemeClr>
                      </a:gs>
                      <a:gs pos="100000">
                        <a:schemeClr val="accent3">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extLst xmlns:c15="http://schemas.microsoft.com/office/drawing/2012/chart">
                      <c:ext xmlns:c15="http://schemas.microsoft.com/office/drawing/2012/chart" uri="{02D57815-91ED-43cb-92C2-25804820EDAC}">
                        <c15:formulaRef>
                          <c15:sqref>Stats!$C$9:$C$25</c15:sqref>
                        </c15:formulaRef>
                      </c:ext>
                    </c:extLst>
                    <c:strCache>
                      <c:ptCount val="17"/>
                      <c:pt idx="0">
                        <c:v>Learnmore Ntshangase</c:v>
                      </c:pt>
                      <c:pt idx="1">
                        <c:v>Fanele Msweli</c:v>
                      </c:pt>
                      <c:pt idx="2">
                        <c:v>Lethu Mkhwanazi</c:v>
                      </c:pt>
                      <c:pt idx="3">
                        <c:v>Mhlengi Kunene</c:v>
                      </c:pt>
                      <c:pt idx="4">
                        <c:v>Minenhle Khumalo</c:v>
                      </c:pt>
                      <c:pt idx="5">
                        <c:v>Nhlakanipho Ntombela</c:v>
                      </c:pt>
                      <c:pt idx="6">
                        <c:v>Mtho Mabizela</c:v>
                      </c:pt>
                      <c:pt idx="7">
                        <c:v>Siyanda Ndaba</c:v>
                      </c:pt>
                      <c:pt idx="8">
                        <c:v>President Gamede</c:v>
                      </c:pt>
                      <c:pt idx="9">
                        <c:v>Luthando Ngidi</c:v>
                      </c:pt>
                      <c:pt idx="10">
                        <c:v>Kudzai Kupeta</c:v>
                      </c:pt>
                      <c:pt idx="11">
                        <c:v>Thembalethu Miya</c:v>
                      </c:pt>
                      <c:pt idx="12">
                        <c:v>Nkosi The Chef</c:v>
                      </c:pt>
                      <c:pt idx="13">
                        <c:v>Sthe Coqueto</c:v>
                      </c:pt>
                      <c:pt idx="14">
                        <c:v>Bheka Bhengu</c:v>
                      </c:pt>
                      <c:pt idx="15">
                        <c:v>Thato Choshi</c:v>
                      </c:pt>
                      <c:pt idx="16">
                        <c:v>Mbuyi Katumba</c:v>
                      </c:pt>
                    </c:strCache>
                  </c:strRef>
                </c:cat>
                <c:val>
                  <c:numRef>
                    <c:extLst xmlns:c15="http://schemas.microsoft.com/office/drawing/2012/chart">
                      <c:ext xmlns:c15="http://schemas.microsoft.com/office/drawing/2012/chart" uri="{02D57815-91ED-43cb-92C2-25804820EDAC}">
                        <c15:formulaRef>
                          <c15:sqref>Stats!$Y$9:$Y$25</c15:sqref>
                        </c15:formulaRef>
                      </c:ext>
                    </c:extLst>
                    <c:numCache>
                      <c:formatCode>_-* #\ ##0_-;\-* #\ ##0_-;_-* "-"??_-;_-@_-</c:formatCode>
                      <c:ptCount val="17"/>
                      <c:pt idx="0">
                        <c:v>66</c:v>
                      </c:pt>
                      <c:pt idx="1">
                        <c:v>51</c:v>
                      </c:pt>
                      <c:pt idx="2">
                        <c:v>48</c:v>
                      </c:pt>
                      <c:pt idx="3">
                        <c:v>53</c:v>
                      </c:pt>
                      <c:pt idx="4">
                        <c:v>71</c:v>
                      </c:pt>
                      <c:pt idx="5">
                        <c:v>51</c:v>
                      </c:pt>
                      <c:pt idx="6">
                        <c:v>59</c:v>
                      </c:pt>
                      <c:pt idx="7">
                        <c:v>56</c:v>
                      </c:pt>
                      <c:pt idx="8">
                        <c:v>60</c:v>
                      </c:pt>
                      <c:pt idx="9">
                        <c:v>51</c:v>
                      </c:pt>
                      <c:pt idx="10">
                        <c:v>69</c:v>
                      </c:pt>
                      <c:pt idx="11">
                        <c:v>64</c:v>
                      </c:pt>
                      <c:pt idx="12">
                        <c:v>61</c:v>
                      </c:pt>
                      <c:pt idx="13">
                        <c:v>60</c:v>
                      </c:pt>
                      <c:pt idx="14">
                        <c:v>52</c:v>
                      </c:pt>
                      <c:pt idx="15">
                        <c:v>63</c:v>
                      </c:pt>
                      <c:pt idx="16">
                        <c:v>62</c:v>
                      </c:pt>
                    </c:numCache>
                  </c:numRef>
                </c:val>
                <c:extLst xmlns:c15="http://schemas.microsoft.com/office/drawing/2012/chart">
                  <c:ext xmlns:c16="http://schemas.microsoft.com/office/drawing/2014/chart" uri="{C3380CC4-5D6E-409C-BE32-E72D297353CC}">
                    <c16:uniqueId val="{00000014-FF95-4DA8-A0CB-089FB7B8DF47}"/>
                  </c:ext>
                </c:extLst>
              </c15:ser>
            </c15:filteredBarSeries>
            <c15:filteredBarSeries>
              <c15:ser>
                <c:idx val="21"/>
                <c:order val="21"/>
                <c:tx>
                  <c:strRef>
                    <c:extLst xmlns:c15="http://schemas.microsoft.com/office/drawing/2012/chart">
                      <c:ext xmlns:c15="http://schemas.microsoft.com/office/drawing/2012/chart" uri="{02D57815-91ED-43cb-92C2-25804820EDAC}">
                        <c15:formulaRef>
                          <c15:sqref>Stats!$Z$8</c15:sqref>
                        </c15:formulaRef>
                      </c:ext>
                    </c:extLst>
                    <c:strCache>
                      <c:ptCount val="1"/>
                      <c:pt idx="0">
                        <c:v>GW22</c:v>
                      </c:pt>
                    </c:strCache>
                  </c:strRef>
                </c:tx>
                <c:spPr>
                  <a:gradFill rotWithShape="1">
                    <a:gsLst>
                      <a:gs pos="0">
                        <a:schemeClr val="accent4">
                          <a:lumMod val="80000"/>
                          <a:satMod val="103000"/>
                          <a:lumMod val="102000"/>
                          <a:tint val="94000"/>
                        </a:schemeClr>
                      </a:gs>
                      <a:gs pos="50000">
                        <a:schemeClr val="accent4">
                          <a:lumMod val="80000"/>
                          <a:satMod val="110000"/>
                          <a:lumMod val="100000"/>
                          <a:shade val="100000"/>
                        </a:schemeClr>
                      </a:gs>
                      <a:gs pos="100000">
                        <a:schemeClr val="accent4">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extLst xmlns:c15="http://schemas.microsoft.com/office/drawing/2012/chart">
                      <c:ext xmlns:c15="http://schemas.microsoft.com/office/drawing/2012/chart" uri="{02D57815-91ED-43cb-92C2-25804820EDAC}">
                        <c15:formulaRef>
                          <c15:sqref>Stats!$C$9:$C$25</c15:sqref>
                        </c15:formulaRef>
                      </c:ext>
                    </c:extLst>
                    <c:strCache>
                      <c:ptCount val="17"/>
                      <c:pt idx="0">
                        <c:v>Learnmore Ntshangase</c:v>
                      </c:pt>
                      <c:pt idx="1">
                        <c:v>Fanele Msweli</c:v>
                      </c:pt>
                      <c:pt idx="2">
                        <c:v>Lethu Mkhwanazi</c:v>
                      </c:pt>
                      <c:pt idx="3">
                        <c:v>Mhlengi Kunene</c:v>
                      </c:pt>
                      <c:pt idx="4">
                        <c:v>Minenhle Khumalo</c:v>
                      </c:pt>
                      <c:pt idx="5">
                        <c:v>Nhlakanipho Ntombela</c:v>
                      </c:pt>
                      <c:pt idx="6">
                        <c:v>Mtho Mabizela</c:v>
                      </c:pt>
                      <c:pt idx="7">
                        <c:v>Siyanda Ndaba</c:v>
                      </c:pt>
                      <c:pt idx="8">
                        <c:v>President Gamede</c:v>
                      </c:pt>
                      <c:pt idx="9">
                        <c:v>Luthando Ngidi</c:v>
                      </c:pt>
                      <c:pt idx="10">
                        <c:v>Kudzai Kupeta</c:v>
                      </c:pt>
                      <c:pt idx="11">
                        <c:v>Thembalethu Miya</c:v>
                      </c:pt>
                      <c:pt idx="12">
                        <c:v>Nkosi The Chef</c:v>
                      </c:pt>
                      <c:pt idx="13">
                        <c:v>Sthe Coqueto</c:v>
                      </c:pt>
                      <c:pt idx="14">
                        <c:v>Bheka Bhengu</c:v>
                      </c:pt>
                      <c:pt idx="15">
                        <c:v>Thato Choshi</c:v>
                      </c:pt>
                      <c:pt idx="16">
                        <c:v>Mbuyi Katumba</c:v>
                      </c:pt>
                    </c:strCache>
                  </c:strRef>
                </c:cat>
                <c:val>
                  <c:numRef>
                    <c:extLst xmlns:c15="http://schemas.microsoft.com/office/drawing/2012/chart">
                      <c:ext xmlns:c15="http://schemas.microsoft.com/office/drawing/2012/chart" uri="{02D57815-91ED-43cb-92C2-25804820EDAC}">
                        <c15:formulaRef>
                          <c15:sqref>Stats!$Z$9:$Z$25</c15:sqref>
                        </c15:formulaRef>
                      </c:ext>
                    </c:extLst>
                    <c:numCache>
                      <c:formatCode>_-* #\ ##0_-;\-* #\ ##0_-;_-* "-"??_-;_-@_-</c:formatCode>
                      <c:ptCount val="17"/>
                      <c:pt idx="0">
                        <c:v>33</c:v>
                      </c:pt>
                      <c:pt idx="1">
                        <c:v>32</c:v>
                      </c:pt>
                      <c:pt idx="2">
                        <c:v>51</c:v>
                      </c:pt>
                      <c:pt idx="3">
                        <c:v>31</c:v>
                      </c:pt>
                      <c:pt idx="4">
                        <c:v>35</c:v>
                      </c:pt>
                      <c:pt idx="5">
                        <c:v>40</c:v>
                      </c:pt>
                      <c:pt idx="6">
                        <c:v>38</c:v>
                      </c:pt>
                      <c:pt idx="7">
                        <c:v>27</c:v>
                      </c:pt>
                      <c:pt idx="8">
                        <c:v>46</c:v>
                      </c:pt>
                      <c:pt idx="9">
                        <c:v>34</c:v>
                      </c:pt>
                      <c:pt idx="10">
                        <c:v>41</c:v>
                      </c:pt>
                      <c:pt idx="11">
                        <c:v>31</c:v>
                      </c:pt>
                      <c:pt idx="12">
                        <c:v>35</c:v>
                      </c:pt>
                      <c:pt idx="13">
                        <c:v>30</c:v>
                      </c:pt>
                      <c:pt idx="14">
                        <c:v>42</c:v>
                      </c:pt>
                      <c:pt idx="15">
                        <c:v>37</c:v>
                      </c:pt>
                      <c:pt idx="16">
                        <c:v>39</c:v>
                      </c:pt>
                    </c:numCache>
                  </c:numRef>
                </c:val>
                <c:extLst xmlns:c15="http://schemas.microsoft.com/office/drawing/2012/chart">
                  <c:ext xmlns:c16="http://schemas.microsoft.com/office/drawing/2014/chart" uri="{C3380CC4-5D6E-409C-BE32-E72D297353CC}">
                    <c16:uniqueId val="{00000015-FF95-4DA8-A0CB-089FB7B8DF47}"/>
                  </c:ext>
                </c:extLst>
              </c15:ser>
            </c15:filteredBarSeries>
            <c15:filteredBarSeries>
              <c15:ser>
                <c:idx val="22"/>
                <c:order val="22"/>
                <c:tx>
                  <c:strRef>
                    <c:extLst xmlns:c15="http://schemas.microsoft.com/office/drawing/2012/chart">
                      <c:ext xmlns:c15="http://schemas.microsoft.com/office/drawing/2012/chart" uri="{02D57815-91ED-43cb-92C2-25804820EDAC}">
                        <c15:formulaRef>
                          <c15:sqref>Stats!$AA$8</c15:sqref>
                        </c15:formulaRef>
                      </c:ext>
                    </c:extLst>
                    <c:strCache>
                      <c:ptCount val="1"/>
                      <c:pt idx="0">
                        <c:v>GW23</c:v>
                      </c:pt>
                    </c:strCache>
                  </c:strRef>
                </c:tx>
                <c:spPr>
                  <a:gradFill rotWithShape="1">
                    <a:gsLst>
                      <a:gs pos="0">
                        <a:schemeClr val="accent5">
                          <a:lumMod val="80000"/>
                          <a:satMod val="103000"/>
                          <a:lumMod val="102000"/>
                          <a:tint val="94000"/>
                        </a:schemeClr>
                      </a:gs>
                      <a:gs pos="50000">
                        <a:schemeClr val="accent5">
                          <a:lumMod val="80000"/>
                          <a:satMod val="110000"/>
                          <a:lumMod val="100000"/>
                          <a:shade val="100000"/>
                        </a:schemeClr>
                      </a:gs>
                      <a:gs pos="100000">
                        <a:schemeClr val="accent5">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extLst xmlns:c15="http://schemas.microsoft.com/office/drawing/2012/chart">
                      <c:ext xmlns:c15="http://schemas.microsoft.com/office/drawing/2012/chart" uri="{02D57815-91ED-43cb-92C2-25804820EDAC}">
                        <c15:formulaRef>
                          <c15:sqref>Stats!$C$9:$C$25</c15:sqref>
                        </c15:formulaRef>
                      </c:ext>
                    </c:extLst>
                    <c:strCache>
                      <c:ptCount val="17"/>
                      <c:pt idx="0">
                        <c:v>Learnmore Ntshangase</c:v>
                      </c:pt>
                      <c:pt idx="1">
                        <c:v>Fanele Msweli</c:v>
                      </c:pt>
                      <c:pt idx="2">
                        <c:v>Lethu Mkhwanazi</c:v>
                      </c:pt>
                      <c:pt idx="3">
                        <c:v>Mhlengi Kunene</c:v>
                      </c:pt>
                      <c:pt idx="4">
                        <c:v>Minenhle Khumalo</c:v>
                      </c:pt>
                      <c:pt idx="5">
                        <c:v>Nhlakanipho Ntombela</c:v>
                      </c:pt>
                      <c:pt idx="6">
                        <c:v>Mtho Mabizela</c:v>
                      </c:pt>
                      <c:pt idx="7">
                        <c:v>Siyanda Ndaba</c:v>
                      </c:pt>
                      <c:pt idx="8">
                        <c:v>President Gamede</c:v>
                      </c:pt>
                      <c:pt idx="9">
                        <c:v>Luthando Ngidi</c:v>
                      </c:pt>
                      <c:pt idx="10">
                        <c:v>Kudzai Kupeta</c:v>
                      </c:pt>
                      <c:pt idx="11">
                        <c:v>Thembalethu Miya</c:v>
                      </c:pt>
                      <c:pt idx="12">
                        <c:v>Nkosi The Chef</c:v>
                      </c:pt>
                      <c:pt idx="13">
                        <c:v>Sthe Coqueto</c:v>
                      </c:pt>
                      <c:pt idx="14">
                        <c:v>Bheka Bhengu</c:v>
                      </c:pt>
                      <c:pt idx="15">
                        <c:v>Thato Choshi</c:v>
                      </c:pt>
                      <c:pt idx="16">
                        <c:v>Mbuyi Katumba</c:v>
                      </c:pt>
                    </c:strCache>
                  </c:strRef>
                </c:cat>
                <c:val>
                  <c:numRef>
                    <c:extLst xmlns:c15="http://schemas.microsoft.com/office/drawing/2012/chart">
                      <c:ext xmlns:c15="http://schemas.microsoft.com/office/drawing/2012/chart" uri="{02D57815-91ED-43cb-92C2-25804820EDAC}">
                        <c15:formulaRef>
                          <c15:sqref>Stats!$AA$9:$AA$25</c15:sqref>
                        </c15:formulaRef>
                      </c:ext>
                    </c:extLst>
                    <c:numCache>
                      <c:formatCode>_-* #\ ##0_-;\-* #\ ##0_-;_-* "-"??_-;_-@_-</c:formatCode>
                      <c:ptCount val="17"/>
                      <c:pt idx="0">
                        <c:v>54</c:v>
                      </c:pt>
                      <c:pt idx="1">
                        <c:v>56</c:v>
                      </c:pt>
                      <c:pt idx="2">
                        <c:v>29</c:v>
                      </c:pt>
                      <c:pt idx="3">
                        <c:v>49</c:v>
                      </c:pt>
                      <c:pt idx="4">
                        <c:v>56</c:v>
                      </c:pt>
                      <c:pt idx="5">
                        <c:v>22</c:v>
                      </c:pt>
                      <c:pt idx="6">
                        <c:v>48</c:v>
                      </c:pt>
                      <c:pt idx="7">
                        <c:v>44</c:v>
                      </c:pt>
                      <c:pt idx="8">
                        <c:v>31</c:v>
                      </c:pt>
                      <c:pt idx="9">
                        <c:v>42</c:v>
                      </c:pt>
                      <c:pt idx="10">
                        <c:v>33</c:v>
                      </c:pt>
                      <c:pt idx="11">
                        <c:v>57</c:v>
                      </c:pt>
                      <c:pt idx="12">
                        <c:v>35</c:v>
                      </c:pt>
                      <c:pt idx="13">
                        <c:v>37</c:v>
                      </c:pt>
                      <c:pt idx="14">
                        <c:v>49</c:v>
                      </c:pt>
                      <c:pt idx="15">
                        <c:v>46</c:v>
                      </c:pt>
                      <c:pt idx="16">
                        <c:v>38</c:v>
                      </c:pt>
                    </c:numCache>
                  </c:numRef>
                </c:val>
                <c:extLst xmlns:c15="http://schemas.microsoft.com/office/drawing/2012/chart">
                  <c:ext xmlns:c16="http://schemas.microsoft.com/office/drawing/2014/chart" uri="{C3380CC4-5D6E-409C-BE32-E72D297353CC}">
                    <c16:uniqueId val="{00000016-FF95-4DA8-A0CB-089FB7B8DF47}"/>
                  </c:ext>
                </c:extLst>
              </c15:ser>
            </c15:filteredBarSeries>
            <c15:filteredBarSeries>
              <c15:ser>
                <c:idx val="23"/>
                <c:order val="23"/>
                <c:tx>
                  <c:strRef>
                    <c:extLst xmlns:c15="http://schemas.microsoft.com/office/drawing/2012/chart">
                      <c:ext xmlns:c15="http://schemas.microsoft.com/office/drawing/2012/chart" uri="{02D57815-91ED-43cb-92C2-25804820EDAC}">
                        <c15:formulaRef>
                          <c15:sqref>Stats!$AB$8</c15:sqref>
                        </c15:formulaRef>
                      </c:ext>
                    </c:extLst>
                    <c:strCache>
                      <c:ptCount val="1"/>
                      <c:pt idx="0">
                        <c:v>GW24</c:v>
                      </c:pt>
                    </c:strCache>
                  </c:strRef>
                </c:tx>
                <c:spPr>
                  <a:gradFill rotWithShape="1">
                    <a:gsLst>
                      <a:gs pos="0">
                        <a:schemeClr val="accent6">
                          <a:lumMod val="80000"/>
                          <a:satMod val="103000"/>
                          <a:lumMod val="102000"/>
                          <a:tint val="94000"/>
                        </a:schemeClr>
                      </a:gs>
                      <a:gs pos="50000">
                        <a:schemeClr val="accent6">
                          <a:lumMod val="80000"/>
                          <a:satMod val="110000"/>
                          <a:lumMod val="100000"/>
                          <a:shade val="100000"/>
                        </a:schemeClr>
                      </a:gs>
                      <a:gs pos="100000">
                        <a:schemeClr val="accent6">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extLst xmlns:c15="http://schemas.microsoft.com/office/drawing/2012/chart">
                      <c:ext xmlns:c15="http://schemas.microsoft.com/office/drawing/2012/chart" uri="{02D57815-91ED-43cb-92C2-25804820EDAC}">
                        <c15:formulaRef>
                          <c15:sqref>Stats!$C$9:$C$25</c15:sqref>
                        </c15:formulaRef>
                      </c:ext>
                    </c:extLst>
                    <c:strCache>
                      <c:ptCount val="17"/>
                      <c:pt idx="0">
                        <c:v>Learnmore Ntshangase</c:v>
                      </c:pt>
                      <c:pt idx="1">
                        <c:v>Fanele Msweli</c:v>
                      </c:pt>
                      <c:pt idx="2">
                        <c:v>Lethu Mkhwanazi</c:v>
                      </c:pt>
                      <c:pt idx="3">
                        <c:v>Mhlengi Kunene</c:v>
                      </c:pt>
                      <c:pt idx="4">
                        <c:v>Minenhle Khumalo</c:v>
                      </c:pt>
                      <c:pt idx="5">
                        <c:v>Nhlakanipho Ntombela</c:v>
                      </c:pt>
                      <c:pt idx="6">
                        <c:v>Mtho Mabizela</c:v>
                      </c:pt>
                      <c:pt idx="7">
                        <c:v>Siyanda Ndaba</c:v>
                      </c:pt>
                      <c:pt idx="8">
                        <c:v>President Gamede</c:v>
                      </c:pt>
                      <c:pt idx="9">
                        <c:v>Luthando Ngidi</c:v>
                      </c:pt>
                      <c:pt idx="10">
                        <c:v>Kudzai Kupeta</c:v>
                      </c:pt>
                      <c:pt idx="11">
                        <c:v>Thembalethu Miya</c:v>
                      </c:pt>
                      <c:pt idx="12">
                        <c:v>Nkosi The Chef</c:v>
                      </c:pt>
                      <c:pt idx="13">
                        <c:v>Sthe Coqueto</c:v>
                      </c:pt>
                      <c:pt idx="14">
                        <c:v>Bheka Bhengu</c:v>
                      </c:pt>
                      <c:pt idx="15">
                        <c:v>Thato Choshi</c:v>
                      </c:pt>
                      <c:pt idx="16">
                        <c:v>Mbuyi Katumba</c:v>
                      </c:pt>
                    </c:strCache>
                  </c:strRef>
                </c:cat>
                <c:val>
                  <c:numRef>
                    <c:extLst xmlns:c15="http://schemas.microsoft.com/office/drawing/2012/chart">
                      <c:ext xmlns:c15="http://schemas.microsoft.com/office/drawing/2012/chart" uri="{02D57815-91ED-43cb-92C2-25804820EDAC}">
                        <c15:formulaRef>
                          <c15:sqref>Stats!$AB$9:$AB$25</c15:sqref>
                        </c15:formulaRef>
                      </c:ext>
                    </c:extLst>
                    <c:numCache>
                      <c:formatCode>_-* #\ ##0_-;\-* #\ ##0_-;_-* "-"??_-;_-@_-</c:formatCode>
                      <c:ptCount val="17"/>
                      <c:pt idx="0">
                        <c:v>40</c:v>
                      </c:pt>
                      <c:pt idx="1">
                        <c:v>52</c:v>
                      </c:pt>
                      <c:pt idx="2">
                        <c:v>64</c:v>
                      </c:pt>
                      <c:pt idx="3">
                        <c:v>53</c:v>
                      </c:pt>
                      <c:pt idx="4">
                        <c:v>52</c:v>
                      </c:pt>
                      <c:pt idx="5">
                        <c:v>75</c:v>
                      </c:pt>
                      <c:pt idx="6">
                        <c:v>44</c:v>
                      </c:pt>
                      <c:pt idx="7">
                        <c:v>59</c:v>
                      </c:pt>
                      <c:pt idx="8">
                        <c:v>71</c:v>
                      </c:pt>
                      <c:pt idx="9">
                        <c:v>52</c:v>
                      </c:pt>
                      <c:pt idx="10">
                        <c:v>45</c:v>
                      </c:pt>
                      <c:pt idx="11">
                        <c:v>45</c:v>
                      </c:pt>
                      <c:pt idx="12">
                        <c:v>65</c:v>
                      </c:pt>
                      <c:pt idx="13">
                        <c:v>36</c:v>
                      </c:pt>
                      <c:pt idx="14">
                        <c:v>69</c:v>
                      </c:pt>
                      <c:pt idx="15">
                        <c:v>54</c:v>
                      </c:pt>
                      <c:pt idx="16">
                        <c:v>64</c:v>
                      </c:pt>
                    </c:numCache>
                  </c:numRef>
                </c:val>
                <c:extLst xmlns:c15="http://schemas.microsoft.com/office/drawing/2012/chart">
                  <c:ext xmlns:c16="http://schemas.microsoft.com/office/drawing/2014/chart" uri="{C3380CC4-5D6E-409C-BE32-E72D297353CC}">
                    <c16:uniqueId val="{00000017-FF95-4DA8-A0CB-089FB7B8DF47}"/>
                  </c:ext>
                </c:extLst>
              </c15:ser>
            </c15:filteredBarSeries>
            <c15:filteredBarSeries>
              <c15:ser>
                <c:idx val="24"/>
                <c:order val="24"/>
                <c:tx>
                  <c:strRef>
                    <c:extLst xmlns:c15="http://schemas.microsoft.com/office/drawing/2012/chart">
                      <c:ext xmlns:c15="http://schemas.microsoft.com/office/drawing/2012/chart" uri="{02D57815-91ED-43cb-92C2-25804820EDAC}">
                        <c15:formulaRef>
                          <c15:sqref>Stats!$AC$8</c15:sqref>
                        </c15:formulaRef>
                      </c:ext>
                    </c:extLst>
                    <c:strCache>
                      <c:ptCount val="1"/>
                      <c:pt idx="0">
                        <c:v>GW25</c:v>
                      </c:pt>
                    </c:strCache>
                  </c:strRef>
                </c:tx>
                <c:spPr>
                  <a:gradFill rotWithShape="1">
                    <a:gsLst>
                      <a:gs pos="0">
                        <a:schemeClr val="accent1">
                          <a:lumMod val="60000"/>
                          <a:lumOff val="40000"/>
                          <a:satMod val="103000"/>
                          <a:lumMod val="102000"/>
                          <a:tint val="94000"/>
                        </a:schemeClr>
                      </a:gs>
                      <a:gs pos="50000">
                        <a:schemeClr val="accent1">
                          <a:lumMod val="60000"/>
                          <a:lumOff val="40000"/>
                          <a:satMod val="110000"/>
                          <a:lumMod val="100000"/>
                          <a:shade val="100000"/>
                        </a:schemeClr>
                      </a:gs>
                      <a:gs pos="100000">
                        <a:schemeClr val="accent1">
                          <a:lumMod val="60000"/>
                          <a:lumOff val="40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extLst xmlns:c15="http://schemas.microsoft.com/office/drawing/2012/chart">
                      <c:ext xmlns:c15="http://schemas.microsoft.com/office/drawing/2012/chart" uri="{02D57815-91ED-43cb-92C2-25804820EDAC}">
                        <c15:formulaRef>
                          <c15:sqref>Stats!$C$9:$C$25</c15:sqref>
                        </c15:formulaRef>
                      </c:ext>
                    </c:extLst>
                    <c:strCache>
                      <c:ptCount val="17"/>
                      <c:pt idx="0">
                        <c:v>Learnmore Ntshangase</c:v>
                      </c:pt>
                      <c:pt idx="1">
                        <c:v>Fanele Msweli</c:v>
                      </c:pt>
                      <c:pt idx="2">
                        <c:v>Lethu Mkhwanazi</c:v>
                      </c:pt>
                      <c:pt idx="3">
                        <c:v>Mhlengi Kunene</c:v>
                      </c:pt>
                      <c:pt idx="4">
                        <c:v>Minenhle Khumalo</c:v>
                      </c:pt>
                      <c:pt idx="5">
                        <c:v>Nhlakanipho Ntombela</c:v>
                      </c:pt>
                      <c:pt idx="6">
                        <c:v>Mtho Mabizela</c:v>
                      </c:pt>
                      <c:pt idx="7">
                        <c:v>Siyanda Ndaba</c:v>
                      </c:pt>
                      <c:pt idx="8">
                        <c:v>President Gamede</c:v>
                      </c:pt>
                      <c:pt idx="9">
                        <c:v>Luthando Ngidi</c:v>
                      </c:pt>
                      <c:pt idx="10">
                        <c:v>Kudzai Kupeta</c:v>
                      </c:pt>
                      <c:pt idx="11">
                        <c:v>Thembalethu Miya</c:v>
                      </c:pt>
                      <c:pt idx="12">
                        <c:v>Nkosi The Chef</c:v>
                      </c:pt>
                      <c:pt idx="13">
                        <c:v>Sthe Coqueto</c:v>
                      </c:pt>
                      <c:pt idx="14">
                        <c:v>Bheka Bhengu</c:v>
                      </c:pt>
                      <c:pt idx="15">
                        <c:v>Thato Choshi</c:v>
                      </c:pt>
                      <c:pt idx="16">
                        <c:v>Mbuyi Katumba</c:v>
                      </c:pt>
                    </c:strCache>
                  </c:strRef>
                </c:cat>
                <c:val>
                  <c:numRef>
                    <c:extLst xmlns:c15="http://schemas.microsoft.com/office/drawing/2012/chart">
                      <c:ext xmlns:c15="http://schemas.microsoft.com/office/drawing/2012/chart" uri="{02D57815-91ED-43cb-92C2-25804820EDAC}">
                        <c15:formulaRef>
                          <c15:sqref>Stats!$AC$9:$AC$25</c15:sqref>
                        </c15:formulaRef>
                      </c:ext>
                    </c:extLst>
                    <c:numCache>
                      <c:formatCode>_-* #\ ##0_-;\-* #\ ##0_-;_-* "-"??_-;_-@_-</c:formatCode>
                      <c:ptCount val="17"/>
                      <c:pt idx="0">
                        <c:v>75</c:v>
                      </c:pt>
                      <c:pt idx="1">
                        <c:v>68</c:v>
                      </c:pt>
                      <c:pt idx="2">
                        <c:v>63</c:v>
                      </c:pt>
                      <c:pt idx="3">
                        <c:v>74</c:v>
                      </c:pt>
                      <c:pt idx="4">
                        <c:v>49</c:v>
                      </c:pt>
                      <c:pt idx="5">
                        <c:v>69</c:v>
                      </c:pt>
                      <c:pt idx="6">
                        <c:v>68</c:v>
                      </c:pt>
                      <c:pt idx="7">
                        <c:v>80</c:v>
                      </c:pt>
                      <c:pt idx="8">
                        <c:v>76</c:v>
                      </c:pt>
                      <c:pt idx="9">
                        <c:v>72</c:v>
                      </c:pt>
                      <c:pt idx="10">
                        <c:v>65</c:v>
                      </c:pt>
                      <c:pt idx="11">
                        <c:v>80</c:v>
                      </c:pt>
                      <c:pt idx="12">
                        <c:v>69</c:v>
                      </c:pt>
                      <c:pt idx="13">
                        <c:v>88</c:v>
                      </c:pt>
                      <c:pt idx="14">
                        <c:v>46</c:v>
                      </c:pt>
                      <c:pt idx="15">
                        <c:v>93</c:v>
                      </c:pt>
                      <c:pt idx="16">
                        <c:v>65</c:v>
                      </c:pt>
                    </c:numCache>
                  </c:numRef>
                </c:val>
                <c:extLst xmlns:c15="http://schemas.microsoft.com/office/drawing/2012/chart">
                  <c:ext xmlns:c16="http://schemas.microsoft.com/office/drawing/2014/chart" uri="{C3380CC4-5D6E-409C-BE32-E72D297353CC}">
                    <c16:uniqueId val="{00000018-FF95-4DA8-A0CB-089FB7B8DF47}"/>
                  </c:ext>
                </c:extLst>
              </c15:ser>
            </c15:filteredBarSeries>
            <c15:filteredBarSeries>
              <c15:ser>
                <c:idx val="25"/>
                <c:order val="25"/>
                <c:tx>
                  <c:strRef>
                    <c:extLst xmlns:c15="http://schemas.microsoft.com/office/drawing/2012/chart">
                      <c:ext xmlns:c15="http://schemas.microsoft.com/office/drawing/2012/chart" uri="{02D57815-91ED-43cb-92C2-25804820EDAC}">
                        <c15:formulaRef>
                          <c15:sqref>Stats!$AD$8</c15:sqref>
                        </c15:formulaRef>
                      </c:ext>
                    </c:extLst>
                    <c:strCache>
                      <c:ptCount val="1"/>
                      <c:pt idx="0">
                        <c:v>GW26</c:v>
                      </c:pt>
                    </c:strCache>
                  </c:strRef>
                </c:tx>
                <c:spPr>
                  <a:gradFill rotWithShape="1">
                    <a:gsLst>
                      <a:gs pos="0">
                        <a:schemeClr val="accent2">
                          <a:lumMod val="60000"/>
                          <a:lumOff val="40000"/>
                          <a:satMod val="103000"/>
                          <a:lumMod val="102000"/>
                          <a:tint val="94000"/>
                        </a:schemeClr>
                      </a:gs>
                      <a:gs pos="50000">
                        <a:schemeClr val="accent2">
                          <a:lumMod val="60000"/>
                          <a:lumOff val="40000"/>
                          <a:satMod val="110000"/>
                          <a:lumMod val="100000"/>
                          <a:shade val="100000"/>
                        </a:schemeClr>
                      </a:gs>
                      <a:gs pos="100000">
                        <a:schemeClr val="accent2">
                          <a:lumMod val="60000"/>
                          <a:lumOff val="40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extLst xmlns:c15="http://schemas.microsoft.com/office/drawing/2012/chart">
                      <c:ext xmlns:c15="http://schemas.microsoft.com/office/drawing/2012/chart" uri="{02D57815-91ED-43cb-92C2-25804820EDAC}">
                        <c15:formulaRef>
                          <c15:sqref>Stats!$C$9:$C$25</c15:sqref>
                        </c15:formulaRef>
                      </c:ext>
                    </c:extLst>
                    <c:strCache>
                      <c:ptCount val="17"/>
                      <c:pt idx="0">
                        <c:v>Learnmore Ntshangase</c:v>
                      </c:pt>
                      <c:pt idx="1">
                        <c:v>Fanele Msweli</c:v>
                      </c:pt>
                      <c:pt idx="2">
                        <c:v>Lethu Mkhwanazi</c:v>
                      </c:pt>
                      <c:pt idx="3">
                        <c:v>Mhlengi Kunene</c:v>
                      </c:pt>
                      <c:pt idx="4">
                        <c:v>Minenhle Khumalo</c:v>
                      </c:pt>
                      <c:pt idx="5">
                        <c:v>Nhlakanipho Ntombela</c:v>
                      </c:pt>
                      <c:pt idx="6">
                        <c:v>Mtho Mabizela</c:v>
                      </c:pt>
                      <c:pt idx="7">
                        <c:v>Siyanda Ndaba</c:v>
                      </c:pt>
                      <c:pt idx="8">
                        <c:v>President Gamede</c:v>
                      </c:pt>
                      <c:pt idx="9">
                        <c:v>Luthando Ngidi</c:v>
                      </c:pt>
                      <c:pt idx="10">
                        <c:v>Kudzai Kupeta</c:v>
                      </c:pt>
                      <c:pt idx="11">
                        <c:v>Thembalethu Miya</c:v>
                      </c:pt>
                      <c:pt idx="12">
                        <c:v>Nkosi The Chef</c:v>
                      </c:pt>
                      <c:pt idx="13">
                        <c:v>Sthe Coqueto</c:v>
                      </c:pt>
                      <c:pt idx="14">
                        <c:v>Bheka Bhengu</c:v>
                      </c:pt>
                      <c:pt idx="15">
                        <c:v>Thato Choshi</c:v>
                      </c:pt>
                      <c:pt idx="16">
                        <c:v>Mbuyi Katumba</c:v>
                      </c:pt>
                    </c:strCache>
                  </c:strRef>
                </c:cat>
                <c:val>
                  <c:numRef>
                    <c:extLst xmlns:c15="http://schemas.microsoft.com/office/drawing/2012/chart">
                      <c:ext xmlns:c15="http://schemas.microsoft.com/office/drawing/2012/chart" uri="{02D57815-91ED-43cb-92C2-25804820EDAC}">
                        <c15:formulaRef>
                          <c15:sqref>Stats!$AD$9:$AD$25</c15:sqref>
                        </c15:formulaRef>
                      </c:ext>
                    </c:extLst>
                    <c:numCache>
                      <c:formatCode>_-* #\ ##0_-;\-* #\ ##0_-;_-* "-"??_-;_-@_-</c:formatCode>
                      <c:ptCount val="17"/>
                      <c:pt idx="0">
                        <c:v>47</c:v>
                      </c:pt>
                      <c:pt idx="1">
                        <c:v>50</c:v>
                      </c:pt>
                      <c:pt idx="2">
                        <c:v>53</c:v>
                      </c:pt>
                      <c:pt idx="3">
                        <c:v>67</c:v>
                      </c:pt>
                      <c:pt idx="4">
                        <c:v>55</c:v>
                      </c:pt>
                      <c:pt idx="5">
                        <c:v>71</c:v>
                      </c:pt>
                      <c:pt idx="6">
                        <c:v>55</c:v>
                      </c:pt>
                      <c:pt idx="7">
                        <c:v>44</c:v>
                      </c:pt>
                      <c:pt idx="8">
                        <c:v>70</c:v>
                      </c:pt>
                      <c:pt idx="9">
                        <c:v>66</c:v>
                      </c:pt>
                      <c:pt idx="10">
                        <c:v>74</c:v>
                      </c:pt>
                      <c:pt idx="11">
                        <c:v>45</c:v>
                      </c:pt>
                      <c:pt idx="12">
                        <c:v>56</c:v>
                      </c:pt>
                      <c:pt idx="13">
                        <c:v>55</c:v>
                      </c:pt>
                      <c:pt idx="14">
                        <c:v>62</c:v>
                      </c:pt>
                      <c:pt idx="15">
                        <c:v>52</c:v>
                      </c:pt>
                      <c:pt idx="16">
                        <c:v>63</c:v>
                      </c:pt>
                    </c:numCache>
                  </c:numRef>
                </c:val>
                <c:extLst xmlns:c15="http://schemas.microsoft.com/office/drawing/2012/chart">
                  <c:ext xmlns:c16="http://schemas.microsoft.com/office/drawing/2014/chart" uri="{C3380CC4-5D6E-409C-BE32-E72D297353CC}">
                    <c16:uniqueId val="{00000019-FF95-4DA8-A0CB-089FB7B8DF47}"/>
                  </c:ext>
                </c:extLst>
              </c15:ser>
            </c15:filteredBarSeries>
            <c15:filteredBarSeries>
              <c15:ser>
                <c:idx val="26"/>
                <c:order val="26"/>
                <c:tx>
                  <c:strRef>
                    <c:extLst xmlns:c15="http://schemas.microsoft.com/office/drawing/2012/chart">
                      <c:ext xmlns:c15="http://schemas.microsoft.com/office/drawing/2012/chart" uri="{02D57815-91ED-43cb-92C2-25804820EDAC}">
                        <c15:formulaRef>
                          <c15:sqref>Stats!$AE$8</c15:sqref>
                        </c15:formulaRef>
                      </c:ext>
                    </c:extLst>
                    <c:strCache>
                      <c:ptCount val="1"/>
                      <c:pt idx="0">
                        <c:v>GW27</c:v>
                      </c:pt>
                    </c:strCache>
                  </c:strRef>
                </c:tx>
                <c:spPr>
                  <a:gradFill rotWithShape="1">
                    <a:gsLst>
                      <a:gs pos="0">
                        <a:schemeClr val="accent3">
                          <a:lumMod val="60000"/>
                          <a:lumOff val="40000"/>
                          <a:satMod val="103000"/>
                          <a:lumMod val="102000"/>
                          <a:tint val="94000"/>
                        </a:schemeClr>
                      </a:gs>
                      <a:gs pos="50000">
                        <a:schemeClr val="accent3">
                          <a:lumMod val="60000"/>
                          <a:lumOff val="40000"/>
                          <a:satMod val="110000"/>
                          <a:lumMod val="100000"/>
                          <a:shade val="100000"/>
                        </a:schemeClr>
                      </a:gs>
                      <a:gs pos="100000">
                        <a:schemeClr val="accent3">
                          <a:lumMod val="60000"/>
                          <a:lumOff val="40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extLst xmlns:c15="http://schemas.microsoft.com/office/drawing/2012/chart">
                      <c:ext xmlns:c15="http://schemas.microsoft.com/office/drawing/2012/chart" uri="{02D57815-91ED-43cb-92C2-25804820EDAC}">
                        <c15:formulaRef>
                          <c15:sqref>Stats!$C$9:$C$25</c15:sqref>
                        </c15:formulaRef>
                      </c:ext>
                    </c:extLst>
                    <c:strCache>
                      <c:ptCount val="17"/>
                      <c:pt idx="0">
                        <c:v>Learnmore Ntshangase</c:v>
                      </c:pt>
                      <c:pt idx="1">
                        <c:v>Fanele Msweli</c:v>
                      </c:pt>
                      <c:pt idx="2">
                        <c:v>Lethu Mkhwanazi</c:v>
                      </c:pt>
                      <c:pt idx="3">
                        <c:v>Mhlengi Kunene</c:v>
                      </c:pt>
                      <c:pt idx="4">
                        <c:v>Minenhle Khumalo</c:v>
                      </c:pt>
                      <c:pt idx="5">
                        <c:v>Nhlakanipho Ntombela</c:v>
                      </c:pt>
                      <c:pt idx="6">
                        <c:v>Mtho Mabizela</c:v>
                      </c:pt>
                      <c:pt idx="7">
                        <c:v>Siyanda Ndaba</c:v>
                      </c:pt>
                      <c:pt idx="8">
                        <c:v>President Gamede</c:v>
                      </c:pt>
                      <c:pt idx="9">
                        <c:v>Luthando Ngidi</c:v>
                      </c:pt>
                      <c:pt idx="10">
                        <c:v>Kudzai Kupeta</c:v>
                      </c:pt>
                      <c:pt idx="11">
                        <c:v>Thembalethu Miya</c:v>
                      </c:pt>
                      <c:pt idx="12">
                        <c:v>Nkosi The Chef</c:v>
                      </c:pt>
                      <c:pt idx="13">
                        <c:v>Sthe Coqueto</c:v>
                      </c:pt>
                      <c:pt idx="14">
                        <c:v>Bheka Bhengu</c:v>
                      </c:pt>
                      <c:pt idx="15">
                        <c:v>Thato Choshi</c:v>
                      </c:pt>
                      <c:pt idx="16">
                        <c:v>Mbuyi Katumba</c:v>
                      </c:pt>
                    </c:strCache>
                  </c:strRef>
                </c:cat>
                <c:val>
                  <c:numRef>
                    <c:extLst xmlns:c15="http://schemas.microsoft.com/office/drawing/2012/chart">
                      <c:ext xmlns:c15="http://schemas.microsoft.com/office/drawing/2012/chart" uri="{02D57815-91ED-43cb-92C2-25804820EDAC}">
                        <c15:formulaRef>
                          <c15:sqref>Stats!$AE$9:$AE$25</c15:sqref>
                        </c15:formulaRef>
                      </c:ext>
                    </c:extLst>
                    <c:numCache>
                      <c:formatCode>_-* #\ ##0_-;\-* #\ ##0_-;_-* "-"??_-;_-@_-</c:formatCode>
                      <c:ptCount val="17"/>
                      <c:pt idx="0">
                        <c:v>52</c:v>
                      </c:pt>
                      <c:pt idx="1">
                        <c:v>41</c:v>
                      </c:pt>
                      <c:pt idx="2">
                        <c:v>30</c:v>
                      </c:pt>
                      <c:pt idx="3">
                        <c:v>52</c:v>
                      </c:pt>
                      <c:pt idx="4">
                        <c:v>54</c:v>
                      </c:pt>
                      <c:pt idx="5">
                        <c:v>40</c:v>
                      </c:pt>
                      <c:pt idx="6">
                        <c:v>44</c:v>
                      </c:pt>
                      <c:pt idx="7">
                        <c:v>34</c:v>
                      </c:pt>
                      <c:pt idx="8">
                        <c:v>46</c:v>
                      </c:pt>
                      <c:pt idx="9">
                        <c:v>38</c:v>
                      </c:pt>
                      <c:pt idx="10">
                        <c:v>44</c:v>
                      </c:pt>
                      <c:pt idx="11">
                        <c:v>37</c:v>
                      </c:pt>
                      <c:pt idx="12">
                        <c:v>46</c:v>
                      </c:pt>
                      <c:pt idx="13">
                        <c:v>42</c:v>
                      </c:pt>
                      <c:pt idx="14">
                        <c:v>42</c:v>
                      </c:pt>
                      <c:pt idx="15">
                        <c:v>37</c:v>
                      </c:pt>
                      <c:pt idx="16">
                        <c:v>42</c:v>
                      </c:pt>
                    </c:numCache>
                  </c:numRef>
                </c:val>
                <c:extLst xmlns:c15="http://schemas.microsoft.com/office/drawing/2012/chart">
                  <c:ext xmlns:c16="http://schemas.microsoft.com/office/drawing/2014/chart" uri="{C3380CC4-5D6E-409C-BE32-E72D297353CC}">
                    <c16:uniqueId val="{0000001A-FF95-4DA8-A0CB-089FB7B8DF47}"/>
                  </c:ext>
                </c:extLst>
              </c15:ser>
            </c15:filteredBarSeries>
            <c15:filteredBarSeries>
              <c15:ser>
                <c:idx val="27"/>
                <c:order val="27"/>
                <c:tx>
                  <c:strRef>
                    <c:extLst xmlns:c15="http://schemas.microsoft.com/office/drawing/2012/chart">
                      <c:ext xmlns:c15="http://schemas.microsoft.com/office/drawing/2012/chart" uri="{02D57815-91ED-43cb-92C2-25804820EDAC}">
                        <c15:formulaRef>
                          <c15:sqref>Stats!$AF$8</c15:sqref>
                        </c15:formulaRef>
                      </c:ext>
                    </c:extLst>
                    <c:strCache>
                      <c:ptCount val="1"/>
                      <c:pt idx="0">
                        <c:v>GW28</c:v>
                      </c:pt>
                    </c:strCache>
                  </c:strRef>
                </c:tx>
                <c:spPr>
                  <a:gradFill rotWithShape="1">
                    <a:gsLst>
                      <a:gs pos="0">
                        <a:schemeClr val="accent4">
                          <a:lumMod val="60000"/>
                          <a:lumOff val="40000"/>
                          <a:satMod val="103000"/>
                          <a:lumMod val="102000"/>
                          <a:tint val="94000"/>
                        </a:schemeClr>
                      </a:gs>
                      <a:gs pos="50000">
                        <a:schemeClr val="accent4">
                          <a:lumMod val="60000"/>
                          <a:lumOff val="40000"/>
                          <a:satMod val="110000"/>
                          <a:lumMod val="100000"/>
                          <a:shade val="100000"/>
                        </a:schemeClr>
                      </a:gs>
                      <a:gs pos="100000">
                        <a:schemeClr val="accent4">
                          <a:lumMod val="60000"/>
                          <a:lumOff val="40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extLst xmlns:c15="http://schemas.microsoft.com/office/drawing/2012/chart">
                      <c:ext xmlns:c15="http://schemas.microsoft.com/office/drawing/2012/chart" uri="{02D57815-91ED-43cb-92C2-25804820EDAC}">
                        <c15:formulaRef>
                          <c15:sqref>Stats!$C$9:$C$25</c15:sqref>
                        </c15:formulaRef>
                      </c:ext>
                    </c:extLst>
                    <c:strCache>
                      <c:ptCount val="17"/>
                      <c:pt idx="0">
                        <c:v>Learnmore Ntshangase</c:v>
                      </c:pt>
                      <c:pt idx="1">
                        <c:v>Fanele Msweli</c:v>
                      </c:pt>
                      <c:pt idx="2">
                        <c:v>Lethu Mkhwanazi</c:v>
                      </c:pt>
                      <c:pt idx="3">
                        <c:v>Mhlengi Kunene</c:v>
                      </c:pt>
                      <c:pt idx="4">
                        <c:v>Minenhle Khumalo</c:v>
                      </c:pt>
                      <c:pt idx="5">
                        <c:v>Nhlakanipho Ntombela</c:v>
                      </c:pt>
                      <c:pt idx="6">
                        <c:v>Mtho Mabizela</c:v>
                      </c:pt>
                      <c:pt idx="7">
                        <c:v>Siyanda Ndaba</c:v>
                      </c:pt>
                      <c:pt idx="8">
                        <c:v>President Gamede</c:v>
                      </c:pt>
                      <c:pt idx="9">
                        <c:v>Luthando Ngidi</c:v>
                      </c:pt>
                      <c:pt idx="10">
                        <c:v>Kudzai Kupeta</c:v>
                      </c:pt>
                      <c:pt idx="11">
                        <c:v>Thembalethu Miya</c:v>
                      </c:pt>
                      <c:pt idx="12">
                        <c:v>Nkosi The Chef</c:v>
                      </c:pt>
                      <c:pt idx="13">
                        <c:v>Sthe Coqueto</c:v>
                      </c:pt>
                      <c:pt idx="14">
                        <c:v>Bheka Bhengu</c:v>
                      </c:pt>
                      <c:pt idx="15">
                        <c:v>Thato Choshi</c:v>
                      </c:pt>
                      <c:pt idx="16">
                        <c:v>Mbuyi Katumba</c:v>
                      </c:pt>
                    </c:strCache>
                  </c:strRef>
                </c:cat>
                <c:val>
                  <c:numRef>
                    <c:extLst xmlns:c15="http://schemas.microsoft.com/office/drawing/2012/chart">
                      <c:ext xmlns:c15="http://schemas.microsoft.com/office/drawing/2012/chart" uri="{02D57815-91ED-43cb-92C2-25804820EDAC}">
                        <c15:formulaRef>
                          <c15:sqref>Stats!$AF$9:$AF$25</c15:sqref>
                        </c15:formulaRef>
                      </c:ext>
                    </c:extLst>
                    <c:numCache>
                      <c:formatCode>_-* #\ ##0_-;\-* #\ ##0_-;_-* "-"??_-;_-@_-</c:formatCode>
                      <c:ptCount val="17"/>
                      <c:pt idx="0">
                        <c:v>75</c:v>
                      </c:pt>
                      <c:pt idx="1">
                        <c:v>76</c:v>
                      </c:pt>
                      <c:pt idx="2">
                        <c:v>66</c:v>
                      </c:pt>
                      <c:pt idx="3">
                        <c:v>66</c:v>
                      </c:pt>
                      <c:pt idx="4">
                        <c:v>59</c:v>
                      </c:pt>
                      <c:pt idx="5">
                        <c:v>79</c:v>
                      </c:pt>
                      <c:pt idx="6">
                        <c:v>79</c:v>
                      </c:pt>
                      <c:pt idx="7">
                        <c:v>79</c:v>
                      </c:pt>
                      <c:pt idx="8">
                        <c:v>67</c:v>
                      </c:pt>
                      <c:pt idx="9">
                        <c:v>64</c:v>
                      </c:pt>
                      <c:pt idx="10">
                        <c:v>70</c:v>
                      </c:pt>
                      <c:pt idx="11">
                        <c:v>62</c:v>
                      </c:pt>
                      <c:pt idx="12">
                        <c:v>75</c:v>
                      </c:pt>
                      <c:pt idx="13">
                        <c:v>49</c:v>
                      </c:pt>
                      <c:pt idx="14">
                        <c:v>79</c:v>
                      </c:pt>
                      <c:pt idx="15">
                        <c:v>61</c:v>
                      </c:pt>
                      <c:pt idx="16">
                        <c:v>77</c:v>
                      </c:pt>
                    </c:numCache>
                  </c:numRef>
                </c:val>
                <c:extLst xmlns:c15="http://schemas.microsoft.com/office/drawing/2012/chart">
                  <c:ext xmlns:c16="http://schemas.microsoft.com/office/drawing/2014/chart" uri="{C3380CC4-5D6E-409C-BE32-E72D297353CC}">
                    <c16:uniqueId val="{0000001B-FF95-4DA8-A0CB-089FB7B8DF47}"/>
                  </c:ext>
                </c:extLst>
              </c15:ser>
            </c15:filteredBarSeries>
            <c15:filteredBarSeries>
              <c15:ser>
                <c:idx val="28"/>
                <c:order val="28"/>
                <c:tx>
                  <c:strRef>
                    <c:extLst xmlns:c15="http://schemas.microsoft.com/office/drawing/2012/chart">
                      <c:ext xmlns:c15="http://schemas.microsoft.com/office/drawing/2012/chart" uri="{02D57815-91ED-43cb-92C2-25804820EDAC}">
                        <c15:formulaRef>
                          <c15:sqref>Stats!$AG$8</c15:sqref>
                        </c15:formulaRef>
                      </c:ext>
                    </c:extLst>
                    <c:strCache>
                      <c:ptCount val="1"/>
                      <c:pt idx="0">
                        <c:v>GW29</c:v>
                      </c:pt>
                    </c:strCache>
                  </c:strRef>
                </c:tx>
                <c:spPr>
                  <a:gradFill rotWithShape="1">
                    <a:gsLst>
                      <a:gs pos="0">
                        <a:schemeClr val="accent5">
                          <a:lumMod val="60000"/>
                          <a:lumOff val="40000"/>
                          <a:satMod val="103000"/>
                          <a:lumMod val="102000"/>
                          <a:tint val="94000"/>
                        </a:schemeClr>
                      </a:gs>
                      <a:gs pos="50000">
                        <a:schemeClr val="accent5">
                          <a:lumMod val="60000"/>
                          <a:lumOff val="40000"/>
                          <a:satMod val="110000"/>
                          <a:lumMod val="100000"/>
                          <a:shade val="100000"/>
                        </a:schemeClr>
                      </a:gs>
                      <a:gs pos="100000">
                        <a:schemeClr val="accent5">
                          <a:lumMod val="60000"/>
                          <a:lumOff val="40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extLst xmlns:c15="http://schemas.microsoft.com/office/drawing/2012/chart">
                      <c:ext xmlns:c15="http://schemas.microsoft.com/office/drawing/2012/chart" uri="{02D57815-91ED-43cb-92C2-25804820EDAC}">
                        <c15:formulaRef>
                          <c15:sqref>Stats!$C$9:$C$25</c15:sqref>
                        </c15:formulaRef>
                      </c:ext>
                    </c:extLst>
                    <c:strCache>
                      <c:ptCount val="17"/>
                      <c:pt idx="0">
                        <c:v>Learnmore Ntshangase</c:v>
                      </c:pt>
                      <c:pt idx="1">
                        <c:v>Fanele Msweli</c:v>
                      </c:pt>
                      <c:pt idx="2">
                        <c:v>Lethu Mkhwanazi</c:v>
                      </c:pt>
                      <c:pt idx="3">
                        <c:v>Mhlengi Kunene</c:v>
                      </c:pt>
                      <c:pt idx="4">
                        <c:v>Minenhle Khumalo</c:v>
                      </c:pt>
                      <c:pt idx="5">
                        <c:v>Nhlakanipho Ntombela</c:v>
                      </c:pt>
                      <c:pt idx="6">
                        <c:v>Mtho Mabizela</c:v>
                      </c:pt>
                      <c:pt idx="7">
                        <c:v>Siyanda Ndaba</c:v>
                      </c:pt>
                      <c:pt idx="8">
                        <c:v>President Gamede</c:v>
                      </c:pt>
                      <c:pt idx="9">
                        <c:v>Luthando Ngidi</c:v>
                      </c:pt>
                      <c:pt idx="10">
                        <c:v>Kudzai Kupeta</c:v>
                      </c:pt>
                      <c:pt idx="11">
                        <c:v>Thembalethu Miya</c:v>
                      </c:pt>
                      <c:pt idx="12">
                        <c:v>Nkosi The Chef</c:v>
                      </c:pt>
                      <c:pt idx="13">
                        <c:v>Sthe Coqueto</c:v>
                      </c:pt>
                      <c:pt idx="14">
                        <c:v>Bheka Bhengu</c:v>
                      </c:pt>
                      <c:pt idx="15">
                        <c:v>Thato Choshi</c:v>
                      </c:pt>
                      <c:pt idx="16">
                        <c:v>Mbuyi Katumba</c:v>
                      </c:pt>
                    </c:strCache>
                  </c:strRef>
                </c:cat>
                <c:val>
                  <c:numRef>
                    <c:extLst xmlns:c15="http://schemas.microsoft.com/office/drawing/2012/chart">
                      <c:ext xmlns:c15="http://schemas.microsoft.com/office/drawing/2012/chart" uri="{02D57815-91ED-43cb-92C2-25804820EDAC}">
                        <c15:formulaRef>
                          <c15:sqref>Stats!$AG$9:$AG$25</c15:sqref>
                        </c15:formulaRef>
                      </c:ext>
                    </c:extLst>
                    <c:numCache>
                      <c:formatCode>_-* #\ ##0_-;\-* #\ ##0_-;_-* "-"??_-;_-@_-</c:formatCode>
                      <c:ptCount val="17"/>
                      <c:pt idx="0">
                        <c:v>50</c:v>
                      </c:pt>
                      <c:pt idx="1">
                        <c:v>79</c:v>
                      </c:pt>
                      <c:pt idx="2">
                        <c:v>68</c:v>
                      </c:pt>
                      <c:pt idx="3">
                        <c:v>79</c:v>
                      </c:pt>
                      <c:pt idx="4">
                        <c:v>51</c:v>
                      </c:pt>
                      <c:pt idx="5">
                        <c:v>63</c:v>
                      </c:pt>
                      <c:pt idx="6">
                        <c:v>82</c:v>
                      </c:pt>
                      <c:pt idx="7">
                        <c:v>74</c:v>
                      </c:pt>
                      <c:pt idx="8">
                        <c:v>69</c:v>
                      </c:pt>
                      <c:pt idx="9">
                        <c:v>68</c:v>
                      </c:pt>
                      <c:pt idx="10">
                        <c:v>53</c:v>
                      </c:pt>
                      <c:pt idx="11">
                        <c:v>74</c:v>
                      </c:pt>
                      <c:pt idx="12">
                        <c:v>63</c:v>
                      </c:pt>
                      <c:pt idx="13">
                        <c:v>48</c:v>
                      </c:pt>
                      <c:pt idx="14">
                        <c:v>78</c:v>
                      </c:pt>
                      <c:pt idx="15">
                        <c:v>57</c:v>
                      </c:pt>
                      <c:pt idx="16">
                        <c:v>74</c:v>
                      </c:pt>
                    </c:numCache>
                  </c:numRef>
                </c:val>
                <c:extLst xmlns:c15="http://schemas.microsoft.com/office/drawing/2012/chart">
                  <c:ext xmlns:c16="http://schemas.microsoft.com/office/drawing/2014/chart" uri="{C3380CC4-5D6E-409C-BE32-E72D297353CC}">
                    <c16:uniqueId val="{0000001C-FF95-4DA8-A0CB-089FB7B8DF47}"/>
                  </c:ext>
                </c:extLst>
              </c15:ser>
            </c15:filteredBarSeries>
            <c15:filteredBarSeries>
              <c15:ser>
                <c:idx val="29"/>
                <c:order val="29"/>
                <c:tx>
                  <c:strRef>
                    <c:extLst xmlns:c15="http://schemas.microsoft.com/office/drawing/2012/chart">
                      <c:ext xmlns:c15="http://schemas.microsoft.com/office/drawing/2012/chart" uri="{02D57815-91ED-43cb-92C2-25804820EDAC}">
                        <c15:formulaRef>
                          <c15:sqref>Stats!$AH$8</c15:sqref>
                        </c15:formulaRef>
                      </c:ext>
                    </c:extLst>
                    <c:strCache>
                      <c:ptCount val="1"/>
                      <c:pt idx="0">
                        <c:v>GW30</c:v>
                      </c:pt>
                    </c:strCache>
                  </c:strRef>
                </c:tx>
                <c:spPr>
                  <a:gradFill rotWithShape="1">
                    <a:gsLst>
                      <a:gs pos="0">
                        <a:schemeClr val="accent6">
                          <a:lumMod val="60000"/>
                          <a:lumOff val="40000"/>
                          <a:satMod val="103000"/>
                          <a:lumMod val="102000"/>
                          <a:tint val="94000"/>
                        </a:schemeClr>
                      </a:gs>
                      <a:gs pos="50000">
                        <a:schemeClr val="accent6">
                          <a:lumMod val="60000"/>
                          <a:lumOff val="40000"/>
                          <a:satMod val="110000"/>
                          <a:lumMod val="100000"/>
                          <a:shade val="100000"/>
                        </a:schemeClr>
                      </a:gs>
                      <a:gs pos="100000">
                        <a:schemeClr val="accent6">
                          <a:lumMod val="60000"/>
                          <a:lumOff val="40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extLst xmlns:c15="http://schemas.microsoft.com/office/drawing/2012/chart">
                      <c:ext xmlns:c15="http://schemas.microsoft.com/office/drawing/2012/chart" uri="{02D57815-91ED-43cb-92C2-25804820EDAC}">
                        <c15:formulaRef>
                          <c15:sqref>Stats!$C$9:$C$25</c15:sqref>
                        </c15:formulaRef>
                      </c:ext>
                    </c:extLst>
                    <c:strCache>
                      <c:ptCount val="17"/>
                      <c:pt idx="0">
                        <c:v>Learnmore Ntshangase</c:v>
                      </c:pt>
                      <c:pt idx="1">
                        <c:v>Fanele Msweli</c:v>
                      </c:pt>
                      <c:pt idx="2">
                        <c:v>Lethu Mkhwanazi</c:v>
                      </c:pt>
                      <c:pt idx="3">
                        <c:v>Mhlengi Kunene</c:v>
                      </c:pt>
                      <c:pt idx="4">
                        <c:v>Minenhle Khumalo</c:v>
                      </c:pt>
                      <c:pt idx="5">
                        <c:v>Nhlakanipho Ntombela</c:v>
                      </c:pt>
                      <c:pt idx="6">
                        <c:v>Mtho Mabizela</c:v>
                      </c:pt>
                      <c:pt idx="7">
                        <c:v>Siyanda Ndaba</c:v>
                      </c:pt>
                      <c:pt idx="8">
                        <c:v>President Gamede</c:v>
                      </c:pt>
                      <c:pt idx="9">
                        <c:v>Luthando Ngidi</c:v>
                      </c:pt>
                      <c:pt idx="10">
                        <c:v>Kudzai Kupeta</c:v>
                      </c:pt>
                      <c:pt idx="11">
                        <c:v>Thembalethu Miya</c:v>
                      </c:pt>
                      <c:pt idx="12">
                        <c:v>Nkosi The Chef</c:v>
                      </c:pt>
                      <c:pt idx="13">
                        <c:v>Sthe Coqueto</c:v>
                      </c:pt>
                      <c:pt idx="14">
                        <c:v>Bheka Bhengu</c:v>
                      </c:pt>
                      <c:pt idx="15">
                        <c:v>Thato Choshi</c:v>
                      </c:pt>
                      <c:pt idx="16">
                        <c:v>Mbuyi Katumba</c:v>
                      </c:pt>
                    </c:strCache>
                  </c:strRef>
                </c:cat>
                <c:val>
                  <c:numRef>
                    <c:extLst xmlns:c15="http://schemas.microsoft.com/office/drawing/2012/chart">
                      <c:ext xmlns:c15="http://schemas.microsoft.com/office/drawing/2012/chart" uri="{02D57815-91ED-43cb-92C2-25804820EDAC}">
                        <c15:formulaRef>
                          <c15:sqref>Stats!$AH$9:$AH$25</c15:sqref>
                        </c15:formulaRef>
                      </c:ext>
                    </c:extLst>
                    <c:numCache>
                      <c:formatCode>_-* #\ ##0_-;\-* #\ ##0_-;_-* "-"??_-;_-@_-</c:formatCode>
                      <c:ptCount val="17"/>
                      <c:pt idx="0">
                        <c:v>51</c:v>
                      </c:pt>
                      <c:pt idx="1">
                        <c:v>48</c:v>
                      </c:pt>
                      <c:pt idx="2">
                        <c:v>49</c:v>
                      </c:pt>
                      <c:pt idx="3">
                        <c:v>47</c:v>
                      </c:pt>
                      <c:pt idx="4">
                        <c:v>39</c:v>
                      </c:pt>
                      <c:pt idx="5">
                        <c:v>48</c:v>
                      </c:pt>
                      <c:pt idx="6">
                        <c:v>55</c:v>
                      </c:pt>
                      <c:pt idx="7">
                        <c:v>61</c:v>
                      </c:pt>
                      <c:pt idx="8">
                        <c:v>50</c:v>
                      </c:pt>
                      <c:pt idx="9">
                        <c:v>61</c:v>
                      </c:pt>
                      <c:pt idx="10">
                        <c:v>76</c:v>
                      </c:pt>
                      <c:pt idx="11">
                        <c:v>46</c:v>
                      </c:pt>
                      <c:pt idx="12">
                        <c:v>78</c:v>
                      </c:pt>
                      <c:pt idx="13">
                        <c:v>39</c:v>
                      </c:pt>
                      <c:pt idx="14">
                        <c:v>59</c:v>
                      </c:pt>
                      <c:pt idx="15">
                        <c:v>41</c:v>
                      </c:pt>
                      <c:pt idx="16">
                        <c:v>49</c:v>
                      </c:pt>
                    </c:numCache>
                  </c:numRef>
                </c:val>
                <c:extLst xmlns:c15="http://schemas.microsoft.com/office/drawing/2012/chart">
                  <c:ext xmlns:c16="http://schemas.microsoft.com/office/drawing/2014/chart" uri="{C3380CC4-5D6E-409C-BE32-E72D297353CC}">
                    <c16:uniqueId val="{0000001D-FF95-4DA8-A0CB-089FB7B8DF47}"/>
                  </c:ext>
                </c:extLst>
              </c15:ser>
            </c15:filteredBarSeries>
            <c15:filteredBarSeries>
              <c15:ser>
                <c:idx val="30"/>
                <c:order val="30"/>
                <c:tx>
                  <c:strRef>
                    <c:extLst xmlns:c15="http://schemas.microsoft.com/office/drawing/2012/chart">
                      <c:ext xmlns:c15="http://schemas.microsoft.com/office/drawing/2012/chart" uri="{02D57815-91ED-43cb-92C2-25804820EDAC}">
                        <c15:formulaRef>
                          <c15:sqref>Stats!$AI$8</c15:sqref>
                        </c15:formulaRef>
                      </c:ext>
                    </c:extLst>
                    <c:strCache>
                      <c:ptCount val="1"/>
                      <c:pt idx="0">
                        <c:v>GW31</c:v>
                      </c:pt>
                    </c:strCache>
                  </c:strRef>
                </c:tx>
                <c:spPr>
                  <a:gradFill rotWithShape="1">
                    <a:gsLst>
                      <a:gs pos="0">
                        <a:schemeClr val="accent1">
                          <a:lumMod val="50000"/>
                          <a:satMod val="103000"/>
                          <a:lumMod val="102000"/>
                          <a:tint val="94000"/>
                        </a:schemeClr>
                      </a:gs>
                      <a:gs pos="50000">
                        <a:schemeClr val="accent1">
                          <a:lumMod val="50000"/>
                          <a:satMod val="110000"/>
                          <a:lumMod val="100000"/>
                          <a:shade val="100000"/>
                        </a:schemeClr>
                      </a:gs>
                      <a:gs pos="100000">
                        <a:schemeClr val="accent1">
                          <a:lumMod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extLst xmlns:c15="http://schemas.microsoft.com/office/drawing/2012/chart">
                      <c:ext xmlns:c15="http://schemas.microsoft.com/office/drawing/2012/chart" uri="{02D57815-91ED-43cb-92C2-25804820EDAC}">
                        <c15:formulaRef>
                          <c15:sqref>Stats!$C$9:$C$25</c15:sqref>
                        </c15:formulaRef>
                      </c:ext>
                    </c:extLst>
                    <c:strCache>
                      <c:ptCount val="17"/>
                      <c:pt idx="0">
                        <c:v>Learnmore Ntshangase</c:v>
                      </c:pt>
                      <c:pt idx="1">
                        <c:v>Fanele Msweli</c:v>
                      </c:pt>
                      <c:pt idx="2">
                        <c:v>Lethu Mkhwanazi</c:v>
                      </c:pt>
                      <c:pt idx="3">
                        <c:v>Mhlengi Kunene</c:v>
                      </c:pt>
                      <c:pt idx="4">
                        <c:v>Minenhle Khumalo</c:v>
                      </c:pt>
                      <c:pt idx="5">
                        <c:v>Nhlakanipho Ntombela</c:v>
                      </c:pt>
                      <c:pt idx="6">
                        <c:v>Mtho Mabizela</c:v>
                      </c:pt>
                      <c:pt idx="7">
                        <c:v>Siyanda Ndaba</c:v>
                      </c:pt>
                      <c:pt idx="8">
                        <c:v>President Gamede</c:v>
                      </c:pt>
                      <c:pt idx="9">
                        <c:v>Luthando Ngidi</c:v>
                      </c:pt>
                      <c:pt idx="10">
                        <c:v>Kudzai Kupeta</c:v>
                      </c:pt>
                      <c:pt idx="11">
                        <c:v>Thembalethu Miya</c:v>
                      </c:pt>
                      <c:pt idx="12">
                        <c:v>Nkosi The Chef</c:v>
                      </c:pt>
                      <c:pt idx="13">
                        <c:v>Sthe Coqueto</c:v>
                      </c:pt>
                      <c:pt idx="14">
                        <c:v>Bheka Bhengu</c:v>
                      </c:pt>
                      <c:pt idx="15">
                        <c:v>Thato Choshi</c:v>
                      </c:pt>
                      <c:pt idx="16">
                        <c:v>Mbuyi Katumba</c:v>
                      </c:pt>
                    </c:strCache>
                  </c:strRef>
                </c:cat>
                <c:val>
                  <c:numRef>
                    <c:extLst xmlns:c15="http://schemas.microsoft.com/office/drawing/2012/chart">
                      <c:ext xmlns:c15="http://schemas.microsoft.com/office/drawing/2012/chart" uri="{02D57815-91ED-43cb-92C2-25804820EDAC}">
                        <c15:formulaRef>
                          <c15:sqref>Stats!$AI$9:$AI$25</c15:sqref>
                        </c15:formulaRef>
                      </c:ext>
                    </c:extLst>
                    <c:numCache>
                      <c:formatCode>_-* #\ ##0_-;\-* #\ ##0_-;_-* "-"??_-;_-@_-</c:formatCode>
                      <c:ptCount val="17"/>
                      <c:pt idx="0">
                        <c:v>62</c:v>
                      </c:pt>
                      <c:pt idx="1">
                        <c:v>44</c:v>
                      </c:pt>
                      <c:pt idx="2">
                        <c:v>63</c:v>
                      </c:pt>
                      <c:pt idx="3">
                        <c:v>48</c:v>
                      </c:pt>
                      <c:pt idx="4">
                        <c:v>51</c:v>
                      </c:pt>
                      <c:pt idx="5">
                        <c:v>55</c:v>
                      </c:pt>
                      <c:pt idx="6">
                        <c:v>59</c:v>
                      </c:pt>
                      <c:pt idx="7">
                        <c:v>55</c:v>
                      </c:pt>
                      <c:pt idx="8">
                        <c:v>50</c:v>
                      </c:pt>
                      <c:pt idx="9">
                        <c:v>55</c:v>
                      </c:pt>
                      <c:pt idx="10">
                        <c:v>53</c:v>
                      </c:pt>
                      <c:pt idx="11">
                        <c:v>51</c:v>
                      </c:pt>
                      <c:pt idx="12">
                        <c:v>54</c:v>
                      </c:pt>
                      <c:pt idx="13">
                        <c:v>68</c:v>
                      </c:pt>
                      <c:pt idx="14">
                        <c:v>58</c:v>
                      </c:pt>
                      <c:pt idx="15">
                        <c:v>33</c:v>
                      </c:pt>
                      <c:pt idx="16">
                        <c:v>52</c:v>
                      </c:pt>
                    </c:numCache>
                  </c:numRef>
                </c:val>
                <c:extLst xmlns:c15="http://schemas.microsoft.com/office/drawing/2012/chart">
                  <c:ext xmlns:c16="http://schemas.microsoft.com/office/drawing/2014/chart" uri="{C3380CC4-5D6E-409C-BE32-E72D297353CC}">
                    <c16:uniqueId val="{0000001E-FF95-4DA8-A0CB-089FB7B8DF47}"/>
                  </c:ext>
                </c:extLst>
              </c15:ser>
            </c15:filteredBarSeries>
            <c15:filteredBarSeries>
              <c15:ser>
                <c:idx val="34"/>
                <c:order val="34"/>
                <c:tx>
                  <c:strRef>
                    <c:extLst xmlns:c15="http://schemas.microsoft.com/office/drawing/2012/chart">
                      <c:ext xmlns:c15="http://schemas.microsoft.com/office/drawing/2012/chart" uri="{02D57815-91ED-43cb-92C2-25804820EDAC}">
                        <c15:formulaRef>
                          <c15:sqref>Stats!$AM$8</c15:sqref>
                        </c15:formulaRef>
                      </c:ext>
                    </c:extLst>
                    <c:strCache>
                      <c:ptCount val="1"/>
                      <c:pt idx="0">
                        <c:v>GW35</c:v>
                      </c:pt>
                    </c:strCache>
                  </c:strRef>
                </c:tx>
                <c:spPr>
                  <a:gradFill rotWithShape="1">
                    <a:gsLst>
                      <a:gs pos="0">
                        <a:schemeClr val="accent5">
                          <a:lumMod val="50000"/>
                          <a:satMod val="103000"/>
                          <a:lumMod val="102000"/>
                          <a:tint val="94000"/>
                        </a:schemeClr>
                      </a:gs>
                      <a:gs pos="50000">
                        <a:schemeClr val="accent5">
                          <a:lumMod val="50000"/>
                          <a:satMod val="110000"/>
                          <a:lumMod val="100000"/>
                          <a:shade val="100000"/>
                        </a:schemeClr>
                      </a:gs>
                      <a:gs pos="100000">
                        <a:schemeClr val="accent5">
                          <a:lumMod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extLst xmlns:c15="http://schemas.microsoft.com/office/drawing/2012/chart">
                      <c:ext xmlns:c15="http://schemas.microsoft.com/office/drawing/2012/chart" uri="{02D57815-91ED-43cb-92C2-25804820EDAC}">
                        <c15:formulaRef>
                          <c15:sqref>Stats!$C$9:$C$25</c15:sqref>
                        </c15:formulaRef>
                      </c:ext>
                    </c:extLst>
                    <c:strCache>
                      <c:ptCount val="17"/>
                      <c:pt idx="0">
                        <c:v>Learnmore Ntshangase</c:v>
                      </c:pt>
                      <c:pt idx="1">
                        <c:v>Fanele Msweli</c:v>
                      </c:pt>
                      <c:pt idx="2">
                        <c:v>Lethu Mkhwanazi</c:v>
                      </c:pt>
                      <c:pt idx="3">
                        <c:v>Mhlengi Kunene</c:v>
                      </c:pt>
                      <c:pt idx="4">
                        <c:v>Minenhle Khumalo</c:v>
                      </c:pt>
                      <c:pt idx="5">
                        <c:v>Nhlakanipho Ntombela</c:v>
                      </c:pt>
                      <c:pt idx="6">
                        <c:v>Mtho Mabizela</c:v>
                      </c:pt>
                      <c:pt idx="7">
                        <c:v>Siyanda Ndaba</c:v>
                      </c:pt>
                      <c:pt idx="8">
                        <c:v>President Gamede</c:v>
                      </c:pt>
                      <c:pt idx="9">
                        <c:v>Luthando Ngidi</c:v>
                      </c:pt>
                      <c:pt idx="10">
                        <c:v>Kudzai Kupeta</c:v>
                      </c:pt>
                      <c:pt idx="11">
                        <c:v>Thembalethu Miya</c:v>
                      </c:pt>
                      <c:pt idx="12">
                        <c:v>Nkosi The Chef</c:v>
                      </c:pt>
                      <c:pt idx="13">
                        <c:v>Sthe Coqueto</c:v>
                      </c:pt>
                      <c:pt idx="14">
                        <c:v>Bheka Bhengu</c:v>
                      </c:pt>
                      <c:pt idx="15">
                        <c:v>Thato Choshi</c:v>
                      </c:pt>
                      <c:pt idx="16">
                        <c:v>Mbuyi Katumba</c:v>
                      </c:pt>
                    </c:strCache>
                  </c:strRef>
                </c:cat>
                <c:val>
                  <c:numRef>
                    <c:extLst xmlns:c15="http://schemas.microsoft.com/office/drawing/2012/chart">
                      <c:ext xmlns:c15="http://schemas.microsoft.com/office/drawing/2012/chart" uri="{02D57815-91ED-43cb-92C2-25804820EDAC}">
                        <c15:formulaRef>
                          <c15:sqref>Stats!$AM$9:$AM$25</c15:sqref>
                        </c15:formulaRef>
                      </c:ext>
                    </c:extLst>
                    <c:numCache>
                      <c:formatCode>_-* #\ ##0_-;\-* #\ ##0_-;_-* "-"??_-;_-@_-</c:formatCode>
                      <c:ptCount val="17"/>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numCache>
                  </c:numRef>
                </c:val>
                <c:extLst xmlns:c15="http://schemas.microsoft.com/office/drawing/2012/chart">
                  <c:ext xmlns:c16="http://schemas.microsoft.com/office/drawing/2014/chart" uri="{C3380CC4-5D6E-409C-BE32-E72D297353CC}">
                    <c16:uniqueId val="{00000022-FF95-4DA8-A0CB-089FB7B8DF47}"/>
                  </c:ext>
                </c:extLst>
              </c15:ser>
            </c15:filteredBarSeries>
            <c15:filteredBarSeries>
              <c15:ser>
                <c:idx val="35"/>
                <c:order val="35"/>
                <c:tx>
                  <c:strRef>
                    <c:extLst xmlns:c15="http://schemas.microsoft.com/office/drawing/2012/chart">
                      <c:ext xmlns:c15="http://schemas.microsoft.com/office/drawing/2012/chart" uri="{02D57815-91ED-43cb-92C2-25804820EDAC}">
                        <c15:formulaRef>
                          <c15:sqref>Stats!$AN$8</c15:sqref>
                        </c15:formulaRef>
                      </c:ext>
                    </c:extLst>
                    <c:strCache>
                      <c:ptCount val="1"/>
                      <c:pt idx="0">
                        <c:v>GW36</c:v>
                      </c:pt>
                    </c:strCache>
                  </c:strRef>
                </c:tx>
                <c:spPr>
                  <a:gradFill rotWithShape="1">
                    <a:gsLst>
                      <a:gs pos="0">
                        <a:schemeClr val="accent6">
                          <a:lumMod val="50000"/>
                          <a:satMod val="103000"/>
                          <a:lumMod val="102000"/>
                          <a:tint val="94000"/>
                        </a:schemeClr>
                      </a:gs>
                      <a:gs pos="50000">
                        <a:schemeClr val="accent6">
                          <a:lumMod val="50000"/>
                          <a:satMod val="110000"/>
                          <a:lumMod val="100000"/>
                          <a:shade val="100000"/>
                        </a:schemeClr>
                      </a:gs>
                      <a:gs pos="100000">
                        <a:schemeClr val="accent6">
                          <a:lumMod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extLst xmlns:c15="http://schemas.microsoft.com/office/drawing/2012/chart">
                      <c:ext xmlns:c15="http://schemas.microsoft.com/office/drawing/2012/chart" uri="{02D57815-91ED-43cb-92C2-25804820EDAC}">
                        <c15:formulaRef>
                          <c15:sqref>Stats!$C$9:$C$25</c15:sqref>
                        </c15:formulaRef>
                      </c:ext>
                    </c:extLst>
                    <c:strCache>
                      <c:ptCount val="17"/>
                      <c:pt idx="0">
                        <c:v>Learnmore Ntshangase</c:v>
                      </c:pt>
                      <c:pt idx="1">
                        <c:v>Fanele Msweli</c:v>
                      </c:pt>
                      <c:pt idx="2">
                        <c:v>Lethu Mkhwanazi</c:v>
                      </c:pt>
                      <c:pt idx="3">
                        <c:v>Mhlengi Kunene</c:v>
                      </c:pt>
                      <c:pt idx="4">
                        <c:v>Minenhle Khumalo</c:v>
                      </c:pt>
                      <c:pt idx="5">
                        <c:v>Nhlakanipho Ntombela</c:v>
                      </c:pt>
                      <c:pt idx="6">
                        <c:v>Mtho Mabizela</c:v>
                      </c:pt>
                      <c:pt idx="7">
                        <c:v>Siyanda Ndaba</c:v>
                      </c:pt>
                      <c:pt idx="8">
                        <c:v>President Gamede</c:v>
                      </c:pt>
                      <c:pt idx="9">
                        <c:v>Luthando Ngidi</c:v>
                      </c:pt>
                      <c:pt idx="10">
                        <c:v>Kudzai Kupeta</c:v>
                      </c:pt>
                      <c:pt idx="11">
                        <c:v>Thembalethu Miya</c:v>
                      </c:pt>
                      <c:pt idx="12">
                        <c:v>Nkosi The Chef</c:v>
                      </c:pt>
                      <c:pt idx="13">
                        <c:v>Sthe Coqueto</c:v>
                      </c:pt>
                      <c:pt idx="14">
                        <c:v>Bheka Bhengu</c:v>
                      </c:pt>
                      <c:pt idx="15">
                        <c:v>Thato Choshi</c:v>
                      </c:pt>
                      <c:pt idx="16">
                        <c:v>Mbuyi Katumba</c:v>
                      </c:pt>
                    </c:strCache>
                  </c:strRef>
                </c:cat>
                <c:val>
                  <c:numRef>
                    <c:extLst xmlns:c15="http://schemas.microsoft.com/office/drawing/2012/chart">
                      <c:ext xmlns:c15="http://schemas.microsoft.com/office/drawing/2012/chart" uri="{02D57815-91ED-43cb-92C2-25804820EDAC}">
                        <c15:formulaRef>
                          <c15:sqref>Stats!$AN$9:$AN$25</c15:sqref>
                        </c15:formulaRef>
                      </c:ext>
                    </c:extLst>
                    <c:numCache>
                      <c:formatCode>_-* #\ ##0_-;\-* #\ ##0_-;_-* "-"??_-;_-@_-</c:formatCode>
                      <c:ptCount val="17"/>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numCache>
                  </c:numRef>
                </c:val>
                <c:extLst xmlns:c15="http://schemas.microsoft.com/office/drawing/2012/chart">
                  <c:ext xmlns:c16="http://schemas.microsoft.com/office/drawing/2014/chart" uri="{C3380CC4-5D6E-409C-BE32-E72D297353CC}">
                    <c16:uniqueId val="{00000023-FF95-4DA8-A0CB-089FB7B8DF47}"/>
                  </c:ext>
                </c:extLst>
              </c15:ser>
            </c15:filteredBarSeries>
            <c15:filteredBarSeries>
              <c15:ser>
                <c:idx val="36"/>
                <c:order val="36"/>
                <c:tx>
                  <c:strRef>
                    <c:extLst xmlns:c15="http://schemas.microsoft.com/office/drawing/2012/chart">
                      <c:ext xmlns:c15="http://schemas.microsoft.com/office/drawing/2012/chart" uri="{02D57815-91ED-43cb-92C2-25804820EDAC}">
                        <c15:formulaRef>
                          <c15:sqref>Stats!$AO$8</c15:sqref>
                        </c15:formulaRef>
                      </c:ext>
                    </c:extLst>
                    <c:strCache>
                      <c:ptCount val="1"/>
                      <c:pt idx="0">
                        <c:v>GW37</c:v>
                      </c:pt>
                    </c:strCache>
                  </c:strRef>
                </c:tx>
                <c:spPr>
                  <a:gradFill rotWithShape="1">
                    <a:gsLst>
                      <a:gs pos="0">
                        <a:schemeClr val="accent1">
                          <a:lumMod val="70000"/>
                          <a:lumOff val="30000"/>
                          <a:satMod val="103000"/>
                          <a:lumMod val="102000"/>
                          <a:tint val="94000"/>
                        </a:schemeClr>
                      </a:gs>
                      <a:gs pos="50000">
                        <a:schemeClr val="accent1">
                          <a:lumMod val="70000"/>
                          <a:lumOff val="30000"/>
                          <a:satMod val="110000"/>
                          <a:lumMod val="100000"/>
                          <a:shade val="100000"/>
                        </a:schemeClr>
                      </a:gs>
                      <a:gs pos="100000">
                        <a:schemeClr val="accent1">
                          <a:lumMod val="70000"/>
                          <a:lumOff val="30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extLst xmlns:c15="http://schemas.microsoft.com/office/drawing/2012/chart">
                      <c:ext xmlns:c15="http://schemas.microsoft.com/office/drawing/2012/chart" uri="{02D57815-91ED-43cb-92C2-25804820EDAC}">
                        <c15:formulaRef>
                          <c15:sqref>Stats!$C$9:$C$25</c15:sqref>
                        </c15:formulaRef>
                      </c:ext>
                    </c:extLst>
                    <c:strCache>
                      <c:ptCount val="17"/>
                      <c:pt idx="0">
                        <c:v>Learnmore Ntshangase</c:v>
                      </c:pt>
                      <c:pt idx="1">
                        <c:v>Fanele Msweli</c:v>
                      </c:pt>
                      <c:pt idx="2">
                        <c:v>Lethu Mkhwanazi</c:v>
                      </c:pt>
                      <c:pt idx="3">
                        <c:v>Mhlengi Kunene</c:v>
                      </c:pt>
                      <c:pt idx="4">
                        <c:v>Minenhle Khumalo</c:v>
                      </c:pt>
                      <c:pt idx="5">
                        <c:v>Nhlakanipho Ntombela</c:v>
                      </c:pt>
                      <c:pt idx="6">
                        <c:v>Mtho Mabizela</c:v>
                      </c:pt>
                      <c:pt idx="7">
                        <c:v>Siyanda Ndaba</c:v>
                      </c:pt>
                      <c:pt idx="8">
                        <c:v>President Gamede</c:v>
                      </c:pt>
                      <c:pt idx="9">
                        <c:v>Luthando Ngidi</c:v>
                      </c:pt>
                      <c:pt idx="10">
                        <c:v>Kudzai Kupeta</c:v>
                      </c:pt>
                      <c:pt idx="11">
                        <c:v>Thembalethu Miya</c:v>
                      </c:pt>
                      <c:pt idx="12">
                        <c:v>Nkosi The Chef</c:v>
                      </c:pt>
                      <c:pt idx="13">
                        <c:v>Sthe Coqueto</c:v>
                      </c:pt>
                      <c:pt idx="14">
                        <c:v>Bheka Bhengu</c:v>
                      </c:pt>
                      <c:pt idx="15">
                        <c:v>Thato Choshi</c:v>
                      </c:pt>
                      <c:pt idx="16">
                        <c:v>Mbuyi Katumba</c:v>
                      </c:pt>
                    </c:strCache>
                  </c:strRef>
                </c:cat>
                <c:val>
                  <c:numRef>
                    <c:extLst xmlns:c15="http://schemas.microsoft.com/office/drawing/2012/chart">
                      <c:ext xmlns:c15="http://schemas.microsoft.com/office/drawing/2012/chart" uri="{02D57815-91ED-43cb-92C2-25804820EDAC}">
                        <c15:formulaRef>
                          <c15:sqref>Stats!$AO$9:$AO$25</c15:sqref>
                        </c15:formulaRef>
                      </c:ext>
                    </c:extLst>
                    <c:numCache>
                      <c:formatCode>_-* #\ ##0_-;\-* #\ ##0_-;_-* "-"??_-;_-@_-</c:formatCode>
                      <c:ptCount val="17"/>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numCache>
                  </c:numRef>
                </c:val>
                <c:extLst xmlns:c15="http://schemas.microsoft.com/office/drawing/2012/chart">
                  <c:ext xmlns:c16="http://schemas.microsoft.com/office/drawing/2014/chart" uri="{C3380CC4-5D6E-409C-BE32-E72D297353CC}">
                    <c16:uniqueId val="{00000024-FF95-4DA8-A0CB-089FB7B8DF47}"/>
                  </c:ext>
                </c:extLst>
              </c15:ser>
            </c15:filteredBarSeries>
            <c15:filteredBarSeries>
              <c15:ser>
                <c:idx val="37"/>
                <c:order val="37"/>
                <c:tx>
                  <c:strRef>
                    <c:extLst xmlns:c15="http://schemas.microsoft.com/office/drawing/2012/chart">
                      <c:ext xmlns:c15="http://schemas.microsoft.com/office/drawing/2012/chart" uri="{02D57815-91ED-43cb-92C2-25804820EDAC}">
                        <c15:formulaRef>
                          <c15:sqref>Stats!$AP$8</c15:sqref>
                        </c15:formulaRef>
                      </c:ext>
                    </c:extLst>
                    <c:strCache>
                      <c:ptCount val="1"/>
                      <c:pt idx="0">
                        <c:v>GW38</c:v>
                      </c:pt>
                    </c:strCache>
                  </c:strRef>
                </c:tx>
                <c:spPr>
                  <a:gradFill rotWithShape="1">
                    <a:gsLst>
                      <a:gs pos="0">
                        <a:schemeClr val="accent2">
                          <a:lumMod val="70000"/>
                          <a:lumOff val="30000"/>
                          <a:satMod val="103000"/>
                          <a:lumMod val="102000"/>
                          <a:tint val="94000"/>
                        </a:schemeClr>
                      </a:gs>
                      <a:gs pos="50000">
                        <a:schemeClr val="accent2">
                          <a:lumMod val="70000"/>
                          <a:lumOff val="30000"/>
                          <a:satMod val="110000"/>
                          <a:lumMod val="100000"/>
                          <a:shade val="100000"/>
                        </a:schemeClr>
                      </a:gs>
                      <a:gs pos="100000">
                        <a:schemeClr val="accent2">
                          <a:lumMod val="70000"/>
                          <a:lumOff val="30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extLst xmlns:c15="http://schemas.microsoft.com/office/drawing/2012/chart">
                      <c:ext xmlns:c15="http://schemas.microsoft.com/office/drawing/2012/chart" uri="{02D57815-91ED-43cb-92C2-25804820EDAC}">
                        <c15:formulaRef>
                          <c15:sqref>Stats!$C$9:$C$25</c15:sqref>
                        </c15:formulaRef>
                      </c:ext>
                    </c:extLst>
                    <c:strCache>
                      <c:ptCount val="17"/>
                      <c:pt idx="0">
                        <c:v>Learnmore Ntshangase</c:v>
                      </c:pt>
                      <c:pt idx="1">
                        <c:v>Fanele Msweli</c:v>
                      </c:pt>
                      <c:pt idx="2">
                        <c:v>Lethu Mkhwanazi</c:v>
                      </c:pt>
                      <c:pt idx="3">
                        <c:v>Mhlengi Kunene</c:v>
                      </c:pt>
                      <c:pt idx="4">
                        <c:v>Minenhle Khumalo</c:v>
                      </c:pt>
                      <c:pt idx="5">
                        <c:v>Nhlakanipho Ntombela</c:v>
                      </c:pt>
                      <c:pt idx="6">
                        <c:v>Mtho Mabizela</c:v>
                      </c:pt>
                      <c:pt idx="7">
                        <c:v>Siyanda Ndaba</c:v>
                      </c:pt>
                      <c:pt idx="8">
                        <c:v>President Gamede</c:v>
                      </c:pt>
                      <c:pt idx="9">
                        <c:v>Luthando Ngidi</c:v>
                      </c:pt>
                      <c:pt idx="10">
                        <c:v>Kudzai Kupeta</c:v>
                      </c:pt>
                      <c:pt idx="11">
                        <c:v>Thembalethu Miya</c:v>
                      </c:pt>
                      <c:pt idx="12">
                        <c:v>Nkosi The Chef</c:v>
                      </c:pt>
                      <c:pt idx="13">
                        <c:v>Sthe Coqueto</c:v>
                      </c:pt>
                      <c:pt idx="14">
                        <c:v>Bheka Bhengu</c:v>
                      </c:pt>
                      <c:pt idx="15">
                        <c:v>Thato Choshi</c:v>
                      </c:pt>
                      <c:pt idx="16">
                        <c:v>Mbuyi Katumba</c:v>
                      </c:pt>
                    </c:strCache>
                  </c:strRef>
                </c:cat>
                <c:val>
                  <c:numRef>
                    <c:extLst xmlns:c15="http://schemas.microsoft.com/office/drawing/2012/chart">
                      <c:ext xmlns:c15="http://schemas.microsoft.com/office/drawing/2012/chart" uri="{02D57815-91ED-43cb-92C2-25804820EDAC}">
                        <c15:formulaRef>
                          <c15:sqref>Stats!$AP$9:$AP$25</c15:sqref>
                        </c15:formulaRef>
                      </c:ext>
                    </c:extLst>
                    <c:numCache>
                      <c:formatCode>_-* #\ ##0_-;\-* #\ ##0_-;_-* "-"??_-;_-@_-</c:formatCode>
                      <c:ptCount val="17"/>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numCache>
                  </c:numRef>
                </c:val>
                <c:extLst xmlns:c15="http://schemas.microsoft.com/office/drawing/2012/chart">
                  <c:ext xmlns:c16="http://schemas.microsoft.com/office/drawing/2014/chart" uri="{C3380CC4-5D6E-409C-BE32-E72D297353CC}">
                    <c16:uniqueId val="{00000025-FF95-4DA8-A0CB-089FB7B8DF47}"/>
                  </c:ext>
                </c:extLst>
              </c15:ser>
            </c15:filteredBarSeries>
            <c15:filteredBarSeries>
              <c15:ser>
                <c:idx val="38"/>
                <c:order val="38"/>
                <c:tx>
                  <c:strRef>
                    <c:extLst xmlns:c15="http://schemas.microsoft.com/office/drawing/2012/chart">
                      <c:ext xmlns:c15="http://schemas.microsoft.com/office/drawing/2012/chart" uri="{02D57815-91ED-43cb-92C2-25804820EDAC}">
                        <c15:formulaRef>
                          <c15:sqref>Stats!$AQ$8</c15:sqref>
                        </c15:formulaRef>
                      </c:ext>
                    </c:extLst>
                    <c:strCache>
                      <c:ptCount val="1"/>
                      <c:pt idx="0">
                        <c:v>Total</c:v>
                      </c:pt>
                    </c:strCache>
                  </c:strRef>
                </c:tx>
                <c:spPr>
                  <a:gradFill rotWithShape="1">
                    <a:gsLst>
                      <a:gs pos="0">
                        <a:schemeClr val="accent3">
                          <a:lumMod val="70000"/>
                          <a:lumOff val="30000"/>
                          <a:satMod val="103000"/>
                          <a:lumMod val="102000"/>
                          <a:tint val="94000"/>
                        </a:schemeClr>
                      </a:gs>
                      <a:gs pos="50000">
                        <a:schemeClr val="accent3">
                          <a:lumMod val="70000"/>
                          <a:lumOff val="30000"/>
                          <a:satMod val="110000"/>
                          <a:lumMod val="100000"/>
                          <a:shade val="100000"/>
                        </a:schemeClr>
                      </a:gs>
                      <a:gs pos="100000">
                        <a:schemeClr val="accent3">
                          <a:lumMod val="70000"/>
                          <a:lumOff val="30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extLst xmlns:c15="http://schemas.microsoft.com/office/drawing/2012/chart">
                      <c:ext xmlns:c15="http://schemas.microsoft.com/office/drawing/2012/chart" uri="{02D57815-91ED-43cb-92C2-25804820EDAC}">
                        <c15:formulaRef>
                          <c15:sqref>Stats!$C$9:$C$25</c15:sqref>
                        </c15:formulaRef>
                      </c:ext>
                    </c:extLst>
                    <c:strCache>
                      <c:ptCount val="17"/>
                      <c:pt idx="0">
                        <c:v>Learnmore Ntshangase</c:v>
                      </c:pt>
                      <c:pt idx="1">
                        <c:v>Fanele Msweli</c:v>
                      </c:pt>
                      <c:pt idx="2">
                        <c:v>Lethu Mkhwanazi</c:v>
                      </c:pt>
                      <c:pt idx="3">
                        <c:v>Mhlengi Kunene</c:v>
                      </c:pt>
                      <c:pt idx="4">
                        <c:v>Minenhle Khumalo</c:v>
                      </c:pt>
                      <c:pt idx="5">
                        <c:v>Nhlakanipho Ntombela</c:v>
                      </c:pt>
                      <c:pt idx="6">
                        <c:v>Mtho Mabizela</c:v>
                      </c:pt>
                      <c:pt idx="7">
                        <c:v>Siyanda Ndaba</c:v>
                      </c:pt>
                      <c:pt idx="8">
                        <c:v>President Gamede</c:v>
                      </c:pt>
                      <c:pt idx="9">
                        <c:v>Luthando Ngidi</c:v>
                      </c:pt>
                      <c:pt idx="10">
                        <c:v>Kudzai Kupeta</c:v>
                      </c:pt>
                      <c:pt idx="11">
                        <c:v>Thembalethu Miya</c:v>
                      </c:pt>
                      <c:pt idx="12">
                        <c:v>Nkosi The Chef</c:v>
                      </c:pt>
                      <c:pt idx="13">
                        <c:v>Sthe Coqueto</c:v>
                      </c:pt>
                      <c:pt idx="14">
                        <c:v>Bheka Bhengu</c:v>
                      </c:pt>
                      <c:pt idx="15">
                        <c:v>Thato Choshi</c:v>
                      </c:pt>
                      <c:pt idx="16">
                        <c:v>Mbuyi Katumba</c:v>
                      </c:pt>
                    </c:strCache>
                  </c:strRef>
                </c:cat>
                <c:val>
                  <c:numRef>
                    <c:extLst xmlns:c15="http://schemas.microsoft.com/office/drawing/2012/chart">
                      <c:ext xmlns:c15="http://schemas.microsoft.com/office/drawing/2012/chart" uri="{02D57815-91ED-43cb-92C2-25804820EDAC}">
                        <c15:formulaRef>
                          <c15:sqref>Stats!$AQ$9:$AQ$25</c15:sqref>
                        </c15:formulaRef>
                      </c:ext>
                    </c:extLst>
                    <c:numCache>
                      <c:formatCode>0</c:formatCode>
                      <c:ptCount val="17"/>
                      <c:pt idx="0">
                        <c:v>1810</c:v>
                      </c:pt>
                      <c:pt idx="1">
                        <c:v>1797</c:v>
                      </c:pt>
                      <c:pt idx="2">
                        <c:v>1908</c:v>
                      </c:pt>
                      <c:pt idx="3">
                        <c:v>1995</c:v>
                      </c:pt>
                      <c:pt idx="4">
                        <c:v>1717</c:v>
                      </c:pt>
                      <c:pt idx="5">
                        <c:v>2005</c:v>
                      </c:pt>
                      <c:pt idx="6">
                        <c:v>1825</c:v>
                      </c:pt>
                      <c:pt idx="7">
                        <c:v>1950</c:v>
                      </c:pt>
                      <c:pt idx="8">
                        <c:v>1817</c:v>
                      </c:pt>
                      <c:pt idx="9">
                        <c:v>1969</c:v>
                      </c:pt>
                      <c:pt idx="10">
                        <c:v>1791</c:v>
                      </c:pt>
                      <c:pt idx="11">
                        <c:v>1819</c:v>
                      </c:pt>
                      <c:pt idx="12">
                        <c:v>2084</c:v>
                      </c:pt>
                      <c:pt idx="13">
                        <c:v>1742</c:v>
                      </c:pt>
                      <c:pt idx="14">
                        <c:v>1864</c:v>
                      </c:pt>
                      <c:pt idx="15">
                        <c:v>1868</c:v>
                      </c:pt>
                      <c:pt idx="16">
                        <c:v>1972</c:v>
                      </c:pt>
                    </c:numCache>
                  </c:numRef>
                </c:val>
                <c:extLst xmlns:c15="http://schemas.microsoft.com/office/drawing/2012/chart">
                  <c:ext xmlns:c16="http://schemas.microsoft.com/office/drawing/2014/chart" uri="{C3380CC4-5D6E-409C-BE32-E72D297353CC}">
                    <c16:uniqueId val="{00000026-FF95-4DA8-A0CB-089FB7B8DF47}"/>
                  </c:ext>
                </c:extLst>
              </c15:ser>
            </c15:filteredBarSeries>
          </c:ext>
        </c:extLst>
      </c:barChart>
      <c:catAx>
        <c:axId val="1464076000"/>
        <c:scaling>
          <c:orientation val="minMax"/>
        </c:scaling>
        <c:delete val="0"/>
        <c:axPos val="b"/>
        <c:title>
          <c:tx>
            <c:rich>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r>
                  <a:rPr lang="en-ZA"/>
                  <a:t>Manager</a:t>
                </a:r>
              </a:p>
            </c:rich>
          </c:tx>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64076480"/>
        <c:crosses val="autoZero"/>
        <c:auto val="1"/>
        <c:lblAlgn val="ctr"/>
        <c:lblOffset val="100"/>
        <c:noMultiLvlLbl val="0"/>
      </c:catAx>
      <c:valAx>
        <c:axId val="1464076480"/>
        <c:scaling>
          <c:orientation val="minMax"/>
        </c:scaling>
        <c:delete val="0"/>
        <c:axPos val="l"/>
        <c:title>
          <c:tx>
            <c:rich>
              <a:bodyPr rot="-54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r>
                  <a:rPr lang="en-ZA"/>
                  <a:t>Points</a:t>
                </a:r>
              </a:p>
            </c:rich>
          </c:tx>
          <c:overlay val="0"/>
          <c:spPr>
            <a:noFill/>
            <a:ln>
              <a:noFill/>
            </a:ln>
            <a:effectLst/>
          </c:spPr>
          <c:txPr>
            <a:bodyPr rot="-54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itle>
        <c:numFmt formatCode="_-* #\ ##0_-;\-* #\ ##0_-;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64076000"/>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ZA"/>
              <a:t>League</a:t>
            </a:r>
            <a:r>
              <a:rPr lang="en-ZA" baseline="0"/>
              <a:t> stats</a:t>
            </a:r>
            <a:endParaRPr lang="en-ZA"/>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ZA"/>
        </a:p>
      </c:txPr>
    </c:title>
    <c:autoTitleDeleted val="0"/>
    <c:plotArea>
      <c:layout/>
      <c:barChart>
        <c:barDir val="col"/>
        <c:grouping val="clustered"/>
        <c:varyColors val="0"/>
        <c:ser>
          <c:idx val="19"/>
          <c:order val="19"/>
          <c:tx>
            <c:strRef>
              <c:f>Stats!$D$28</c:f>
              <c:strCache>
                <c:ptCount val="1"/>
                <c:pt idx="0">
                  <c:v>Average</c:v>
                </c:pt>
              </c:strCache>
            </c:strRef>
          </c:tx>
          <c:spPr>
            <a:gradFill rotWithShape="1">
              <a:gsLst>
                <a:gs pos="0">
                  <a:schemeClr val="accent2">
                    <a:lumMod val="80000"/>
                    <a:satMod val="103000"/>
                    <a:lumMod val="102000"/>
                    <a:tint val="94000"/>
                  </a:schemeClr>
                </a:gs>
                <a:gs pos="50000">
                  <a:schemeClr val="accent2">
                    <a:lumMod val="80000"/>
                    <a:satMod val="110000"/>
                    <a:lumMod val="100000"/>
                    <a:shade val="100000"/>
                  </a:schemeClr>
                </a:gs>
                <a:gs pos="100000">
                  <a:schemeClr val="accent2">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extLst>
                <c:ext xmlns:c15="http://schemas.microsoft.com/office/drawing/2012/chart" uri="{02D57815-91ED-43cb-92C2-25804820EDAC}">
                  <c15:fullRef>
                    <c15:sqref>Stats!$E$8:$AP$8</c15:sqref>
                  </c15:fullRef>
                </c:ext>
              </c:extLst>
              <c:f>Stats!$AL$8</c:f>
              <c:strCache>
                <c:ptCount val="1"/>
                <c:pt idx="0">
                  <c:v>GW34</c:v>
                </c:pt>
              </c:strCache>
            </c:strRef>
          </c:cat>
          <c:val>
            <c:numRef>
              <c:extLst>
                <c:ext xmlns:c15="http://schemas.microsoft.com/office/drawing/2012/chart" uri="{02D57815-91ED-43cb-92C2-25804820EDAC}">
                  <c15:fullRef>
                    <c15:sqref>Stats!$E$28:$AP$28</c15:sqref>
                  </c15:fullRef>
                </c:ext>
              </c:extLst>
              <c:f>Stats!$AL$28</c:f>
              <c:numCache>
                <c:formatCode>_(* #,##0.00_);_(* \(#,##0.00\);_(* "-"??_);_(@_)</c:formatCode>
                <c:ptCount val="1"/>
                <c:pt idx="0">
                  <c:v>52.117647058823529</c:v>
                </c:pt>
              </c:numCache>
            </c:numRef>
          </c:val>
          <c:extLst>
            <c:ext xmlns:c16="http://schemas.microsoft.com/office/drawing/2014/chart" uri="{C3380CC4-5D6E-409C-BE32-E72D297353CC}">
              <c16:uniqueId val="{00000013-73BB-4361-9404-2D1E07C27BB7}"/>
            </c:ext>
          </c:extLst>
        </c:ser>
        <c:ser>
          <c:idx val="20"/>
          <c:order val="20"/>
          <c:tx>
            <c:strRef>
              <c:f>Stats!$D$29</c:f>
              <c:strCache>
                <c:ptCount val="1"/>
                <c:pt idx="0">
                  <c:v>Median</c:v>
                </c:pt>
              </c:strCache>
            </c:strRef>
          </c:tx>
          <c:spPr>
            <a:gradFill rotWithShape="1">
              <a:gsLst>
                <a:gs pos="0">
                  <a:schemeClr val="accent3">
                    <a:lumMod val="80000"/>
                    <a:satMod val="103000"/>
                    <a:lumMod val="102000"/>
                    <a:tint val="94000"/>
                  </a:schemeClr>
                </a:gs>
                <a:gs pos="50000">
                  <a:schemeClr val="accent3">
                    <a:lumMod val="80000"/>
                    <a:satMod val="110000"/>
                    <a:lumMod val="100000"/>
                    <a:shade val="100000"/>
                  </a:schemeClr>
                </a:gs>
                <a:gs pos="100000">
                  <a:schemeClr val="accent3">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extLst>
                <c:ext xmlns:c15="http://schemas.microsoft.com/office/drawing/2012/chart" uri="{02D57815-91ED-43cb-92C2-25804820EDAC}">
                  <c15:fullRef>
                    <c15:sqref>Stats!$E$8:$AP$8</c15:sqref>
                  </c15:fullRef>
                </c:ext>
              </c:extLst>
              <c:f>Stats!$AL$8</c:f>
              <c:strCache>
                <c:ptCount val="1"/>
                <c:pt idx="0">
                  <c:v>GW34</c:v>
                </c:pt>
              </c:strCache>
            </c:strRef>
          </c:cat>
          <c:val>
            <c:numRef>
              <c:extLst>
                <c:ext xmlns:c15="http://schemas.microsoft.com/office/drawing/2012/chart" uri="{02D57815-91ED-43cb-92C2-25804820EDAC}">
                  <c15:fullRef>
                    <c15:sqref>Stats!$E$29:$AP$29</c15:sqref>
                  </c15:fullRef>
                </c:ext>
              </c:extLst>
              <c:f>Stats!$AL$29</c:f>
              <c:numCache>
                <c:formatCode>_-* #\ ##0_-;\-* #\ ##0_-;_-* "-"??_-;_-@_-</c:formatCode>
                <c:ptCount val="1"/>
                <c:pt idx="0">
                  <c:v>55</c:v>
                </c:pt>
              </c:numCache>
            </c:numRef>
          </c:val>
          <c:extLst>
            <c:ext xmlns:c16="http://schemas.microsoft.com/office/drawing/2014/chart" uri="{C3380CC4-5D6E-409C-BE32-E72D297353CC}">
              <c16:uniqueId val="{00000014-73BB-4361-9404-2D1E07C27BB7}"/>
            </c:ext>
          </c:extLst>
        </c:ser>
        <c:ser>
          <c:idx val="21"/>
          <c:order val="21"/>
          <c:tx>
            <c:strRef>
              <c:f>Stats!$D$30</c:f>
              <c:strCache>
                <c:ptCount val="1"/>
                <c:pt idx="0">
                  <c:v>Highest</c:v>
                </c:pt>
              </c:strCache>
            </c:strRef>
          </c:tx>
          <c:spPr>
            <a:gradFill rotWithShape="1">
              <a:gsLst>
                <a:gs pos="0">
                  <a:schemeClr val="accent4">
                    <a:lumMod val="80000"/>
                    <a:satMod val="103000"/>
                    <a:lumMod val="102000"/>
                    <a:tint val="94000"/>
                  </a:schemeClr>
                </a:gs>
                <a:gs pos="50000">
                  <a:schemeClr val="accent4">
                    <a:lumMod val="80000"/>
                    <a:satMod val="110000"/>
                    <a:lumMod val="100000"/>
                    <a:shade val="100000"/>
                  </a:schemeClr>
                </a:gs>
                <a:gs pos="100000">
                  <a:schemeClr val="accent4">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extLst>
                <c:ext xmlns:c15="http://schemas.microsoft.com/office/drawing/2012/chart" uri="{02D57815-91ED-43cb-92C2-25804820EDAC}">
                  <c15:fullRef>
                    <c15:sqref>Stats!$E$8:$AP$8</c15:sqref>
                  </c15:fullRef>
                </c:ext>
              </c:extLst>
              <c:f>Stats!$AL$8</c:f>
              <c:strCache>
                <c:ptCount val="1"/>
                <c:pt idx="0">
                  <c:v>GW34</c:v>
                </c:pt>
              </c:strCache>
            </c:strRef>
          </c:cat>
          <c:val>
            <c:numRef>
              <c:extLst>
                <c:ext xmlns:c15="http://schemas.microsoft.com/office/drawing/2012/chart" uri="{02D57815-91ED-43cb-92C2-25804820EDAC}">
                  <c15:fullRef>
                    <c15:sqref>Stats!$E$30:$AP$30</c15:sqref>
                  </c15:fullRef>
                </c:ext>
              </c:extLst>
              <c:f>Stats!$AL$30</c:f>
              <c:numCache>
                <c:formatCode>_-* #\ ##0_-;\-* #\ ##0_-;_-* "-"??_-;_-@_-</c:formatCode>
                <c:ptCount val="1"/>
                <c:pt idx="0">
                  <c:v>74</c:v>
                </c:pt>
              </c:numCache>
            </c:numRef>
          </c:val>
          <c:extLst>
            <c:ext xmlns:c16="http://schemas.microsoft.com/office/drawing/2014/chart" uri="{C3380CC4-5D6E-409C-BE32-E72D297353CC}">
              <c16:uniqueId val="{00000015-73BB-4361-9404-2D1E07C27BB7}"/>
            </c:ext>
          </c:extLst>
        </c:ser>
        <c:ser>
          <c:idx val="22"/>
          <c:order val="22"/>
          <c:tx>
            <c:strRef>
              <c:f>Stats!$D$31</c:f>
              <c:strCache>
                <c:ptCount val="1"/>
                <c:pt idx="0">
                  <c:v>Lowest</c:v>
                </c:pt>
              </c:strCache>
            </c:strRef>
          </c:tx>
          <c:spPr>
            <a:gradFill rotWithShape="1">
              <a:gsLst>
                <a:gs pos="0">
                  <a:schemeClr val="accent5">
                    <a:lumMod val="80000"/>
                    <a:satMod val="103000"/>
                    <a:lumMod val="102000"/>
                    <a:tint val="94000"/>
                  </a:schemeClr>
                </a:gs>
                <a:gs pos="50000">
                  <a:schemeClr val="accent5">
                    <a:lumMod val="80000"/>
                    <a:satMod val="110000"/>
                    <a:lumMod val="100000"/>
                    <a:shade val="100000"/>
                  </a:schemeClr>
                </a:gs>
                <a:gs pos="100000">
                  <a:schemeClr val="accent5">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extLst>
                <c:ext xmlns:c15="http://schemas.microsoft.com/office/drawing/2012/chart" uri="{02D57815-91ED-43cb-92C2-25804820EDAC}">
                  <c15:fullRef>
                    <c15:sqref>Stats!$E$8:$AP$8</c15:sqref>
                  </c15:fullRef>
                </c:ext>
              </c:extLst>
              <c:f>Stats!$AL$8</c:f>
              <c:strCache>
                <c:ptCount val="1"/>
                <c:pt idx="0">
                  <c:v>GW34</c:v>
                </c:pt>
              </c:strCache>
            </c:strRef>
          </c:cat>
          <c:val>
            <c:numRef>
              <c:extLst>
                <c:ext xmlns:c15="http://schemas.microsoft.com/office/drawing/2012/chart" uri="{02D57815-91ED-43cb-92C2-25804820EDAC}">
                  <c15:fullRef>
                    <c15:sqref>Stats!$E$31:$AP$31</c15:sqref>
                  </c15:fullRef>
                </c:ext>
              </c:extLst>
              <c:f>Stats!$AL$31</c:f>
              <c:numCache>
                <c:formatCode>_-* #\ ##0_-;\-* #\ ##0_-;_-* "-"??_-;_-@_-</c:formatCode>
                <c:ptCount val="1"/>
                <c:pt idx="0">
                  <c:v>22</c:v>
                </c:pt>
              </c:numCache>
            </c:numRef>
          </c:val>
          <c:extLst>
            <c:ext xmlns:c16="http://schemas.microsoft.com/office/drawing/2014/chart" uri="{C3380CC4-5D6E-409C-BE32-E72D297353CC}">
              <c16:uniqueId val="{00000016-73BB-4361-9404-2D1E07C27BB7}"/>
            </c:ext>
          </c:extLst>
        </c:ser>
        <c:dLbls>
          <c:dLblPos val="inEnd"/>
          <c:showLegendKey val="0"/>
          <c:showVal val="1"/>
          <c:showCatName val="0"/>
          <c:showSerName val="0"/>
          <c:showPercent val="0"/>
          <c:showBubbleSize val="0"/>
        </c:dLbls>
        <c:gapWidth val="100"/>
        <c:overlap val="-24"/>
        <c:axId val="1945095343"/>
        <c:axId val="1945096303"/>
        <c:extLst>
          <c:ext xmlns:c15="http://schemas.microsoft.com/office/drawing/2012/chart" uri="{02D57815-91ED-43cb-92C2-25804820EDAC}">
            <c15:filteredBarSeries>
              <c15:ser>
                <c:idx val="0"/>
                <c:order val="0"/>
                <c:tx>
                  <c:strRef>
                    <c:extLst>
                      <c:ext uri="{02D57815-91ED-43cb-92C2-25804820EDAC}">
                        <c15:formulaRef>
                          <c15:sqref>Stats!$D$9</c15:sqref>
                        </c15:formulaRef>
                      </c:ext>
                    </c:extLst>
                    <c:strCache>
                      <c:ptCount val="1"/>
                      <c:pt idx="0">
                        <c:v>A Cunha Matata</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uri="{CE6537A1-D6FC-4f65-9D91-7224C49458BB}">
                      <c15:showLeaderLines val="1"/>
                      <c15:leaderLines>
                        <c:spPr>
                          <a:ln w="9525" cap="flat" cmpd="sng" algn="ctr">
                            <a:solidFill>
                              <a:schemeClr val="tx1">
                                <a:lumMod val="35000"/>
                                <a:lumOff val="65000"/>
                              </a:schemeClr>
                            </a:solidFill>
                            <a:round/>
                          </a:ln>
                          <a:effectLst/>
                        </c:spPr>
                      </c15:leaderLines>
                    </c:ext>
                  </c:extLst>
                </c:dLbls>
                <c:cat>
                  <c:strRef>
                    <c:extLst>
                      <c:ext uri="{02D57815-91ED-43cb-92C2-25804820EDAC}">
                        <c15:fullRef>
                          <c15:sqref>Stats!$E$8:$AP$8</c15:sqref>
                        </c15:fullRef>
                        <c15:formulaRef>
                          <c15:sqref>Stats!$AL$8</c15:sqref>
                        </c15:formulaRef>
                      </c:ext>
                    </c:extLst>
                    <c:strCache>
                      <c:ptCount val="1"/>
                      <c:pt idx="0">
                        <c:v>GW34</c:v>
                      </c:pt>
                    </c:strCache>
                  </c:strRef>
                </c:cat>
                <c:val>
                  <c:numRef>
                    <c:extLst>
                      <c:ext uri="{02D57815-91ED-43cb-92C2-25804820EDAC}">
                        <c15:fullRef>
                          <c15:sqref>Stats!$E$9:$AP$9</c15:sqref>
                        </c15:fullRef>
                        <c15:formulaRef>
                          <c15:sqref>Stats!$AL$9</c15:sqref>
                        </c15:formulaRef>
                      </c:ext>
                    </c:extLst>
                    <c:numCache>
                      <c:formatCode>_-* #\ ##0_-;\-* #\ ##0_-;_-* "-"??_-;_-@_-</c:formatCode>
                      <c:ptCount val="1"/>
                      <c:pt idx="0">
                        <c:v>51</c:v>
                      </c:pt>
                    </c:numCache>
                  </c:numRef>
                </c:val>
                <c:extLst>
                  <c:ext xmlns:c16="http://schemas.microsoft.com/office/drawing/2014/chart" uri="{C3380CC4-5D6E-409C-BE32-E72D297353CC}">
                    <c16:uniqueId val="{00000000-73BB-4361-9404-2D1E07C27BB7}"/>
                  </c:ext>
                </c:extLst>
              </c15:ser>
            </c15:filteredBarSeries>
            <c15:filteredBarSeries>
              <c15:ser>
                <c:idx val="1"/>
                <c:order val="1"/>
                <c:tx>
                  <c:strRef>
                    <c:extLst xmlns:c15="http://schemas.microsoft.com/office/drawing/2012/chart">
                      <c:ext xmlns:c15="http://schemas.microsoft.com/office/drawing/2012/chart" uri="{02D57815-91ED-43cb-92C2-25804820EDAC}">
                        <c15:formulaRef>
                          <c15:sqref>Stats!$D$10</c15:sqref>
                        </c15:formulaRef>
                      </c:ext>
                    </c:extLst>
                    <c:strCache>
                      <c:ptCount val="1"/>
                      <c:pt idx="0">
                        <c:v>Boehlys World Champs</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xmlns:c15="http://schemas.microsoft.com/office/drawing/2012/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extLst>
                      <c:ext xmlns:c15="http://schemas.microsoft.com/office/drawing/2012/chart" uri="{02D57815-91ED-43cb-92C2-25804820EDAC}">
                        <c15:fullRef>
                          <c15:sqref>Stats!$E$8:$AP$8</c15:sqref>
                        </c15:fullRef>
                        <c15:formulaRef>
                          <c15:sqref>Stats!$AL$8</c15:sqref>
                        </c15:formulaRef>
                      </c:ext>
                    </c:extLst>
                    <c:strCache>
                      <c:ptCount val="1"/>
                      <c:pt idx="0">
                        <c:v>GW34</c:v>
                      </c:pt>
                    </c:strCache>
                  </c:strRef>
                </c:cat>
                <c:val>
                  <c:numRef>
                    <c:extLst>
                      <c:ext xmlns:c15="http://schemas.microsoft.com/office/drawing/2012/chart" uri="{02D57815-91ED-43cb-92C2-25804820EDAC}">
                        <c15:fullRef>
                          <c15:sqref>Stats!$E$10:$AP$10</c15:sqref>
                        </c15:fullRef>
                        <c15:formulaRef>
                          <c15:sqref>Stats!$AL$10</c15:sqref>
                        </c15:formulaRef>
                      </c:ext>
                    </c:extLst>
                    <c:numCache>
                      <c:formatCode>_-* #\ ##0_-;\-* #\ ##0_-;_-* "-"??_-;_-@_-</c:formatCode>
                      <c:ptCount val="1"/>
                      <c:pt idx="0">
                        <c:v>74</c:v>
                      </c:pt>
                    </c:numCache>
                  </c:numRef>
                </c:val>
                <c:extLst xmlns:c15="http://schemas.microsoft.com/office/drawing/2012/chart">
                  <c:ext xmlns:c16="http://schemas.microsoft.com/office/drawing/2014/chart" uri="{C3380CC4-5D6E-409C-BE32-E72D297353CC}">
                    <c16:uniqueId val="{00000001-73BB-4361-9404-2D1E07C27BB7}"/>
                  </c:ext>
                </c:extLst>
              </c15:ser>
            </c15:filteredBarSeries>
            <c15:filteredBarSeries>
              <c15:ser>
                <c:idx val="2"/>
                <c:order val="2"/>
                <c:tx>
                  <c:strRef>
                    <c:extLst xmlns:c15="http://schemas.microsoft.com/office/drawing/2012/chart">
                      <c:ext xmlns:c15="http://schemas.microsoft.com/office/drawing/2012/chart" uri="{02D57815-91ED-43cb-92C2-25804820EDAC}">
                        <c15:formulaRef>
                          <c15:sqref>Stats!$D$11</c15:sqref>
                        </c15:formulaRef>
                      </c:ext>
                    </c:extLst>
                    <c:strCache>
                      <c:ptCount val="1"/>
                      <c:pt idx="0">
                        <c:v>Bruno, dos, tres</c:v>
                      </c:pt>
                    </c:strCache>
                  </c:strRef>
                </c:tx>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xmlns:c15="http://schemas.microsoft.com/office/drawing/2012/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extLst>
                      <c:ext xmlns:c15="http://schemas.microsoft.com/office/drawing/2012/chart" uri="{02D57815-91ED-43cb-92C2-25804820EDAC}">
                        <c15:fullRef>
                          <c15:sqref>Stats!$E$8:$AP$8</c15:sqref>
                        </c15:fullRef>
                        <c15:formulaRef>
                          <c15:sqref>Stats!$AL$8</c15:sqref>
                        </c15:formulaRef>
                      </c:ext>
                    </c:extLst>
                    <c:strCache>
                      <c:ptCount val="1"/>
                      <c:pt idx="0">
                        <c:v>GW34</c:v>
                      </c:pt>
                    </c:strCache>
                  </c:strRef>
                </c:cat>
                <c:val>
                  <c:numRef>
                    <c:extLst>
                      <c:ext xmlns:c15="http://schemas.microsoft.com/office/drawing/2012/chart" uri="{02D57815-91ED-43cb-92C2-25804820EDAC}">
                        <c15:fullRef>
                          <c15:sqref>Stats!$E$11:$AP$11</c15:sqref>
                        </c15:fullRef>
                        <c15:formulaRef>
                          <c15:sqref>Stats!$AL$11</c15:sqref>
                        </c15:formulaRef>
                      </c:ext>
                    </c:extLst>
                    <c:numCache>
                      <c:formatCode>_-* #\ ##0_-;\-* #\ ##0_-;_-* "-"??_-;_-@_-</c:formatCode>
                      <c:ptCount val="1"/>
                      <c:pt idx="0">
                        <c:v>41</c:v>
                      </c:pt>
                    </c:numCache>
                  </c:numRef>
                </c:val>
                <c:extLst xmlns:c15="http://schemas.microsoft.com/office/drawing/2012/chart">
                  <c:ext xmlns:c16="http://schemas.microsoft.com/office/drawing/2014/chart" uri="{C3380CC4-5D6E-409C-BE32-E72D297353CC}">
                    <c16:uniqueId val="{00000002-73BB-4361-9404-2D1E07C27BB7}"/>
                  </c:ext>
                </c:extLst>
              </c15:ser>
            </c15:filteredBarSeries>
            <c15:filteredBarSeries>
              <c15:ser>
                <c:idx val="3"/>
                <c:order val="3"/>
                <c:tx>
                  <c:strRef>
                    <c:extLst xmlns:c15="http://schemas.microsoft.com/office/drawing/2012/chart">
                      <c:ext xmlns:c15="http://schemas.microsoft.com/office/drawing/2012/chart" uri="{02D57815-91ED-43cb-92C2-25804820EDAC}">
                        <c15:formulaRef>
                          <c15:sqref>Stats!$D$12</c15:sqref>
                        </c15:formulaRef>
                      </c:ext>
                    </c:extLst>
                    <c:strCache>
                      <c:ptCount val="1"/>
                      <c:pt idx="0">
                        <c:v>Hidden Hills</c:v>
                      </c:pt>
                    </c:strCache>
                  </c:strRef>
                </c:tx>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xmlns:c15="http://schemas.microsoft.com/office/drawing/2012/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extLst>
                      <c:ext xmlns:c15="http://schemas.microsoft.com/office/drawing/2012/chart" uri="{02D57815-91ED-43cb-92C2-25804820EDAC}">
                        <c15:fullRef>
                          <c15:sqref>Stats!$E$8:$AP$8</c15:sqref>
                        </c15:fullRef>
                        <c15:formulaRef>
                          <c15:sqref>Stats!$AL$8</c15:sqref>
                        </c15:formulaRef>
                      </c:ext>
                    </c:extLst>
                    <c:strCache>
                      <c:ptCount val="1"/>
                      <c:pt idx="0">
                        <c:v>GW34</c:v>
                      </c:pt>
                    </c:strCache>
                  </c:strRef>
                </c:cat>
                <c:val>
                  <c:numRef>
                    <c:extLst>
                      <c:ext xmlns:c15="http://schemas.microsoft.com/office/drawing/2012/chart" uri="{02D57815-91ED-43cb-92C2-25804820EDAC}">
                        <c15:fullRef>
                          <c15:sqref>Stats!$E$12:$AP$12</c15:sqref>
                        </c15:fullRef>
                        <c15:formulaRef>
                          <c15:sqref>Stats!$AL$12</c15:sqref>
                        </c15:formulaRef>
                      </c:ext>
                    </c:extLst>
                    <c:numCache>
                      <c:formatCode>_-* #\ ##0_-;\-* #\ ##0_-;_-* "-"??_-;_-@_-</c:formatCode>
                      <c:ptCount val="1"/>
                      <c:pt idx="0">
                        <c:v>65</c:v>
                      </c:pt>
                    </c:numCache>
                  </c:numRef>
                </c:val>
                <c:extLst xmlns:c15="http://schemas.microsoft.com/office/drawing/2012/chart">
                  <c:ext xmlns:c16="http://schemas.microsoft.com/office/drawing/2014/chart" uri="{C3380CC4-5D6E-409C-BE32-E72D297353CC}">
                    <c16:uniqueId val="{00000003-73BB-4361-9404-2D1E07C27BB7}"/>
                  </c:ext>
                </c:extLst>
              </c15:ser>
            </c15:filteredBarSeries>
            <c15:filteredBarSeries>
              <c15:ser>
                <c:idx val="4"/>
                <c:order val="4"/>
                <c:tx>
                  <c:strRef>
                    <c:extLst xmlns:c15="http://schemas.microsoft.com/office/drawing/2012/chart">
                      <c:ext xmlns:c15="http://schemas.microsoft.com/office/drawing/2012/chart" uri="{02D57815-91ED-43cb-92C2-25804820EDAC}">
                        <c15:formulaRef>
                          <c15:sqref>Stats!$D$13</c15:sqref>
                        </c15:formulaRef>
                      </c:ext>
                    </c:extLst>
                    <c:strCache>
                      <c:ptCount val="1"/>
                      <c:pt idx="0">
                        <c:v>Hot Slot FC</c:v>
                      </c:pt>
                    </c:strCache>
                  </c:strRef>
                </c:tx>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xmlns:c15="http://schemas.microsoft.com/office/drawing/2012/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extLst>
                      <c:ext xmlns:c15="http://schemas.microsoft.com/office/drawing/2012/chart" uri="{02D57815-91ED-43cb-92C2-25804820EDAC}">
                        <c15:fullRef>
                          <c15:sqref>Stats!$E$8:$AP$8</c15:sqref>
                        </c15:fullRef>
                        <c15:formulaRef>
                          <c15:sqref>Stats!$AL$8</c15:sqref>
                        </c15:formulaRef>
                      </c:ext>
                    </c:extLst>
                    <c:strCache>
                      <c:ptCount val="1"/>
                      <c:pt idx="0">
                        <c:v>GW34</c:v>
                      </c:pt>
                    </c:strCache>
                  </c:strRef>
                </c:cat>
                <c:val>
                  <c:numRef>
                    <c:extLst>
                      <c:ext xmlns:c15="http://schemas.microsoft.com/office/drawing/2012/chart" uri="{02D57815-91ED-43cb-92C2-25804820EDAC}">
                        <c15:fullRef>
                          <c15:sqref>Stats!$E$13:$AP$13</c15:sqref>
                        </c15:fullRef>
                        <c15:formulaRef>
                          <c15:sqref>Stats!$AL$13</c15:sqref>
                        </c15:formulaRef>
                      </c:ext>
                    </c:extLst>
                    <c:numCache>
                      <c:formatCode>_-* #\ ##0_-;\-* #\ ##0_-;_-* "-"??_-;_-@_-</c:formatCode>
                      <c:ptCount val="1"/>
                      <c:pt idx="0">
                        <c:v>45</c:v>
                      </c:pt>
                    </c:numCache>
                  </c:numRef>
                </c:val>
                <c:extLst xmlns:c15="http://schemas.microsoft.com/office/drawing/2012/chart">
                  <c:ext xmlns:c16="http://schemas.microsoft.com/office/drawing/2014/chart" uri="{C3380CC4-5D6E-409C-BE32-E72D297353CC}">
                    <c16:uniqueId val="{00000004-73BB-4361-9404-2D1E07C27BB7}"/>
                  </c:ext>
                </c:extLst>
              </c15:ser>
            </c15:filteredBarSeries>
            <c15:filteredBarSeries>
              <c15:ser>
                <c:idx val="5"/>
                <c:order val="5"/>
                <c:tx>
                  <c:strRef>
                    <c:extLst xmlns:c15="http://schemas.microsoft.com/office/drawing/2012/chart">
                      <c:ext xmlns:c15="http://schemas.microsoft.com/office/drawing/2012/chart" uri="{02D57815-91ED-43cb-92C2-25804820EDAC}">
                        <c15:formulaRef>
                          <c15:sqref>Stats!$D$14</c15:sqref>
                        </c15:formulaRef>
                      </c:ext>
                    </c:extLst>
                    <c:strCache>
                      <c:ptCount val="1"/>
                      <c:pt idx="0">
                        <c:v>Iam_ntombela</c:v>
                      </c:pt>
                    </c:strCache>
                  </c:strRef>
                </c:tx>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xmlns:c15="http://schemas.microsoft.com/office/drawing/2012/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extLst>
                      <c:ext xmlns:c15="http://schemas.microsoft.com/office/drawing/2012/chart" uri="{02D57815-91ED-43cb-92C2-25804820EDAC}">
                        <c15:fullRef>
                          <c15:sqref>Stats!$E$8:$AP$8</c15:sqref>
                        </c15:fullRef>
                        <c15:formulaRef>
                          <c15:sqref>Stats!$AL$8</c15:sqref>
                        </c15:formulaRef>
                      </c:ext>
                    </c:extLst>
                    <c:strCache>
                      <c:ptCount val="1"/>
                      <c:pt idx="0">
                        <c:v>GW34</c:v>
                      </c:pt>
                    </c:strCache>
                  </c:strRef>
                </c:cat>
                <c:val>
                  <c:numRef>
                    <c:extLst>
                      <c:ext xmlns:c15="http://schemas.microsoft.com/office/drawing/2012/chart" uri="{02D57815-91ED-43cb-92C2-25804820EDAC}">
                        <c15:fullRef>
                          <c15:sqref>Stats!$E$14:$AP$14</c15:sqref>
                        </c15:fullRef>
                        <c15:formulaRef>
                          <c15:sqref>Stats!$AL$14</c15:sqref>
                        </c15:formulaRef>
                      </c:ext>
                    </c:extLst>
                    <c:numCache>
                      <c:formatCode>_-* #\ ##0_-;\-* #\ ##0_-;_-* "-"??_-;_-@_-</c:formatCode>
                      <c:ptCount val="1"/>
                      <c:pt idx="0">
                        <c:v>56</c:v>
                      </c:pt>
                    </c:numCache>
                  </c:numRef>
                </c:val>
                <c:extLst xmlns:c15="http://schemas.microsoft.com/office/drawing/2012/chart">
                  <c:ext xmlns:c16="http://schemas.microsoft.com/office/drawing/2014/chart" uri="{C3380CC4-5D6E-409C-BE32-E72D297353CC}">
                    <c16:uniqueId val="{00000005-73BB-4361-9404-2D1E07C27BB7}"/>
                  </c:ext>
                </c:extLst>
              </c15:ser>
            </c15:filteredBarSeries>
            <c15:filteredBarSeries>
              <c15:ser>
                <c:idx val="6"/>
                <c:order val="6"/>
                <c:tx>
                  <c:strRef>
                    <c:extLst xmlns:c15="http://schemas.microsoft.com/office/drawing/2012/chart">
                      <c:ext xmlns:c15="http://schemas.microsoft.com/office/drawing/2012/chart" uri="{02D57815-91ED-43cb-92C2-25804820EDAC}">
                        <c15:formulaRef>
                          <c15:sqref>Stats!$D$15</c15:sqref>
                        </c15:formulaRef>
                      </c:ext>
                    </c:extLst>
                    <c:strCache>
                      <c:ptCount val="1"/>
                      <c:pt idx="0">
                        <c:v>Joao Island</c:v>
                      </c:pt>
                    </c:strCache>
                  </c:strRef>
                </c:tx>
                <c:spPr>
                  <a:gradFill rotWithShape="1">
                    <a:gsLst>
                      <a:gs pos="0">
                        <a:schemeClr val="accent1">
                          <a:lumMod val="60000"/>
                          <a:satMod val="103000"/>
                          <a:lumMod val="102000"/>
                          <a:tint val="94000"/>
                        </a:schemeClr>
                      </a:gs>
                      <a:gs pos="50000">
                        <a:schemeClr val="accent1">
                          <a:lumMod val="60000"/>
                          <a:satMod val="110000"/>
                          <a:lumMod val="100000"/>
                          <a:shade val="100000"/>
                        </a:schemeClr>
                      </a:gs>
                      <a:gs pos="100000">
                        <a:schemeClr val="accent1">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xmlns:c15="http://schemas.microsoft.com/office/drawing/2012/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extLst>
                      <c:ext xmlns:c15="http://schemas.microsoft.com/office/drawing/2012/chart" uri="{02D57815-91ED-43cb-92C2-25804820EDAC}">
                        <c15:fullRef>
                          <c15:sqref>Stats!$E$8:$AP$8</c15:sqref>
                        </c15:fullRef>
                        <c15:formulaRef>
                          <c15:sqref>Stats!$AL$8</c15:sqref>
                        </c15:formulaRef>
                      </c:ext>
                    </c:extLst>
                    <c:strCache>
                      <c:ptCount val="1"/>
                      <c:pt idx="0">
                        <c:v>GW34</c:v>
                      </c:pt>
                    </c:strCache>
                  </c:strRef>
                </c:cat>
                <c:val>
                  <c:numRef>
                    <c:extLst>
                      <c:ext xmlns:c15="http://schemas.microsoft.com/office/drawing/2012/chart" uri="{02D57815-91ED-43cb-92C2-25804820EDAC}">
                        <c15:fullRef>
                          <c15:sqref>Stats!$E$15:$AP$15</c15:sqref>
                        </c15:fullRef>
                        <c15:formulaRef>
                          <c15:sqref>Stats!$AL$15</c15:sqref>
                        </c15:formulaRef>
                      </c:ext>
                    </c:extLst>
                    <c:numCache>
                      <c:formatCode>_-* #\ ##0_-;\-* #\ ##0_-;_-* "-"??_-;_-@_-</c:formatCode>
                      <c:ptCount val="1"/>
                      <c:pt idx="0">
                        <c:v>46</c:v>
                      </c:pt>
                    </c:numCache>
                  </c:numRef>
                </c:val>
                <c:extLst xmlns:c15="http://schemas.microsoft.com/office/drawing/2012/chart">
                  <c:ext xmlns:c16="http://schemas.microsoft.com/office/drawing/2014/chart" uri="{C3380CC4-5D6E-409C-BE32-E72D297353CC}">
                    <c16:uniqueId val="{00000006-73BB-4361-9404-2D1E07C27BB7}"/>
                  </c:ext>
                </c:extLst>
              </c15:ser>
            </c15:filteredBarSeries>
            <c15:filteredBarSeries>
              <c15:ser>
                <c:idx val="7"/>
                <c:order val="7"/>
                <c:tx>
                  <c:strRef>
                    <c:extLst xmlns:c15="http://schemas.microsoft.com/office/drawing/2012/chart">
                      <c:ext xmlns:c15="http://schemas.microsoft.com/office/drawing/2012/chart" uri="{02D57815-91ED-43cb-92C2-25804820EDAC}">
                        <c15:formulaRef>
                          <c15:sqref>Stats!$D$16</c15:sqref>
                        </c15:formulaRef>
                      </c:ext>
                    </c:extLst>
                    <c:strCache>
                      <c:ptCount val="1"/>
                      <c:pt idx="0">
                        <c:v>JustGimmeDeLigt</c:v>
                      </c:pt>
                    </c:strCache>
                  </c:strRef>
                </c:tx>
                <c:spPr>
                  <a:gradFill rotWithShape="1">
                    <a:gsLst>
                      <a:gs pos="0">
                        <a:schemeClr val="accent2">
                          <a:lumMod val="60000"/>
                          <a:satMod val="103000"/>
                          <a:lumMod val="102000"/>
                          <a:tint val="94000"/>
                        </a:schemeClr>
                      </a:gs>
                      <a:gs pos="50000">
                        <a:schemeClr val="accent2">
                          <a:lumMod val="60000"/>
                          <a:satMod val="110000"/>
                          <a:lumMod val="100000"/>
                          <a:shade val="100000"/>
                        </a:schemeClr>
                      </a:gs>
                      <a:gs pos="100000">
                        <a:schemeClr val="accent2">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xmlns:c15="http://schemas.microsoft.com/office/drawing/2012/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extLst>
                      <c:ext xmlns:c15="http://schemas.microsoft.com/office/drawing/2012/chart" uri="{02D57815-91ED-43cb-92C2-25804820EDAC}">
                        <c15:fullRef>
                          <c15:sqref>Stats!$E$8:$AP$8</c15:sqref>
                        </c15:fullRef>
                        <c15:formulaRef>
                          <c15:sqref>Stats!$AL$8</c15:sqref>
                        </c15:formulaRef>
                      </c:ext>
                    </c:extLst>
                    <c:strCache>
                      <c:ptCount val="1"/>
                      <c:pt idx="0">
                        <c:v>GW34</c:v>
                      </c:pt>
                    </c:strCache>
                  </c:strRef>
                </c:cat>
                <c:val>
                  <c:numRef>
                    <c:extLst>
                      <c:ext xmlns:c15="http://schemas.microsoft.com/office/drawing/2012/chart" uri="{02D57815-91ED-43cb-92C2-25804820EDAC}">
                        <c15:fullRef>
                          <c15:sqref>Stats!$E$16:$AP$16</c15:sqref>
                        </c15:fullRef>
                        <c15:formulaRef>
                          <c15:sqref>Stats!$AL$16</c15:sqref>
                        </c15:formulaRef>
                      </c:ext>
                    </c:extLst>
                    <c:numCache>
                      <c:formatCode>_-* #\ ##0_-;\-* #\ ##0_-;_-* "-"??_-;_-@_-</c:formatCode>
                      <c:ptCount val="1"/>
                      <c:pt idx="0">
                        <c:v>71</c:v>
                      </c:pt>
                    </c:numCache>
                  </c:numRef>
                </c:val>
                <c:extLst xmlns:c15="http://schemas.microsoft.com/office/drawing/2012/chart">
                  <c:ext xmlns:c16="http://schemas.microsoft.com/office/drawing/2014/chart" uri="{C3380CC4-5D6E-409C-BE32-E72D297353CC}">
                    <c16:uniqueId val="{00000007-73BB-4361-9404-2D1E07C27BB7}"/>
                  </c:ext>
                </c:extLst>
              </c15:ser>
            </c15:filteredBarSeries>
            <c15:filteredBarSeries>
              <c15:ser>
                <c:idx val="8"/>
                <c:order val="8"/>
                <c:tx>
                  <c:strRef>
                    <c:extLst xmlns:c15="http://schemas.microsoft.com/office/drawing/2012/chart">
                      <c:ext xmlns:c15="http://schemas.microsoft.com/office/drawing/2012/chart" uri="{02D57815-91ED-43cb-92C2-25804820EDAC}">
                        <c15:formulaRef>
                          <c15:sqref>Stats!$D$17</c15:sqref>
                        </c15:formulaRef>
                      </c:ext>
                    </c:extLst>
                    <c:strCache>
                      <c:ptCount val="1"/>
                      <c:pt idx="0">
                        <c:v>Los Primeros</c:v>
                      </c:pt>
                    </c:strCache>
                  </c:strRef>
                </c:tx>
                <c:spPr>
                  <a:gradFill rotWithShape="1">
                    <a:gsLst>
                      <a:gs pos="0">
                        <a:schemeClr val="accent3">
                          <a:lumMod val="60000"/>
                          <a:satMod val="103000"/>
                          <a:lumMod val="102000"/>
                          <a:tint val="94000"/>
                        </a:schemeClr>
                      </a:gs>
                      <a:gs pos="50000">
                        <a:schemeClr val="accent3">
                          <a:lumMod val="60000"/>
                          <a:satMod val="110000"/>
                          <a:lumMod val="100000"/>
                          <a:shade val="100000"/>
                        </a:schemeClr>
                      </a:gs>
                      <a:gs pos="100000">
                        <a:schemeClr val="accent3">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xmlns:c15="http://schemas.microsoft.com/office/drawing/2012/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extLst>
                      <c:ext xmlns:c15="http://schemas.microsoft.com/office/drawing/2012/chart" uri="{02D57815-91ED-43cb-92C2-25804820EDAC}">
                        <c15:fullRef>
                          <c15:sqref>Stats!$E$8:$AP$8</c15:sqref>
                        </c15:fullRef>
                        <c15:formulaRef>
                          <c15:sqref>Stats!$AL$8</c15:sqref>
                        </c15:formulaRef>
                      </c:ext>
                    </c:extLst>
                    <c:strCache>
                      <c:ptCount val="1"/>
                      <c:pt idx="0">
                        <c:v>GW34</c:v>
                      </c:pt>
                    </c:strCache>
                  </c:strRef>
                </c:cat>
                <c:val>
                  <c:numRef>
                    <c:extLst>
                      <c:ext xmlns:c15="http://schemas.microsoft.com/office/drawing/2012/chart" uri="{02D57815-91ED-43cb-92C2-25804820EDAC}">
                        <c15:fullRef>
                          <c15:sqref>Stats!$E$17:$AP$17</c15:sqref>
                        </c15:fullRef>
                        <c15:formulaRef>
                          <c15:sqref>Stats!$AL$17</c15:sqref>
                        </c15:formulaRef>
                      </c:ext>
                    </c:extLst>
                    <c:numCache>
                      <c:formatCode>_-* #\ ##0_-;\-* #\ ##0_-;_-* "-"??_-;_-@_-</c:formatCode>
                      <c:ptCount val="1"/>
                      <c:pt idx="0">
                        <c:v>22</c:v>
                      </c:pt>
                    </c:numCache>
                  </c:numRef>
                </c:val>
                <c:extLst xmlns:c15="http://schemas.microsoft.com/office/drawing/2012/chart">
                  <c:ext xmlns:c16="http://schemas.microsoft.com/office/drawing/2014/chart" uri="{C3380CC4-5D6E-409C-BE32-E72D297353CC}">
                    <c16:uniqueId val="{00000008-73BB-4361-9404-2D1E07C27BB7}"/>
                  </c:ext>
                </c:extLst>
              </c15:ser>
            </c15:filteredBarSeries>
            <c15:filteredBarSeries>
              <c15:ser>
                <c:idx val="9"/>
                <c:order val="9"/>
                <c:tx>
                  <c:strRef>
                    <c:extLst xmlns:c15="http://schemas.microsoft.com/office/drawing/2012/chart">
                      <c:ext xmlns:c15="http://schemas.microsoft.com/office/drawing/2012/chart" uri="{02D57815-91ED-43cb-92C2-25804820EDAC}">
                        <c15:formulaRef>
                          <c15:sqref>Stats!$D$18</c15:sqref>
                        </c15:formulaRef>
                      </c:ext>
                    </c:extLst>
                    <c:strCache>
                      <c:ptCount val="1"/>
                      <c:pt idx="0">
                        <c:v>Palmergeddon</c:v>
                      </c:pt>
                    </c:strCache>
                  </c:strRef>
                </c:tx>
                <c:spPr>
                  <a:gradFill rotWithShape="1">
                    <a:gsLst>
                      <a:gs pos="0">
                        <a:schemeClr val="accent4">
                          <a:lumMod val="60000"/>
                          <a:satMod val="103000"/>
                          <a:lumMod val="102000"/>
                          <a:tint val="94000"/>
                        </a:schemeClr>
                      </a:gs>
                      <a:gs pos="50000">
                        <a:schemeClr val="accent4">
                          <a:lumMod val="60000"/>
                          <a:satMod val="110000"/>
                          <a:lumMod val="100000"/>
                          <a:shade val="100000"/>
                        </a:schemeClr>
                      </a:gs>
                      <a:gs pos="100000">
                        <a:schemeClr val="accent4">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xmlns:c15="http://schemas.microsoft.com/office/drawing/2012/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extLst>
                      <c:ext xmlns:c15="http://schemas.microsoft.com/office/drawing/2012/chart" uri="{02D57815-91ED-43cb-92C2-25804820EDAC}">
                        <c15:fullRef>
                          <c15:sqref>Stats!$E$8:$AP$8</c15:sqref>
                        </c15:fullRef>
                        <c15:formulaRef>
                          <c15:sqref>Stats!$AL$8</c15:sqref>
                        </c15:formulaRef>
                      </c:ext>
                    </c:extLst>
                    <c:strCache>
                      <c:ptCount val="1"/>
                      <c:pt idx="0">
                        <c:v>GW34</c:v>
                      </c:pt>
                    </c:strCache>
                  </c:strRef>
                </c:cat>
                <c:val>
                  <c:numRef>
                    <c:extLst>
                      <c:ext xmlns:c15="http://schemas.microsoft.com/office/drawing/2012/chart" uri="{02D57815-91ED-43cb-92C2-25804820EDAC}">
                        <c15:fullRef>
                          <c15:sqref>Stats!$E$18:$AP$18</c15:sqref>
                        </c15:fullRef>
                        <c15:formulaRef>
                          <c15:sqref>Stats!$AL$18</c15:sqref>
                        </c15:formulaRef>
                      </c:ext>
                    </c:extLst>
                    <c:numCache>
                      <c:formatCode>_-* #\ ##0_-;\-* #\ ##0_-;_-* "-"??_-;_-@_-</c:formatCode>
                      <c:ptCount val="1"/>
                      <c:pt idx="0">
                        <c:v>58</c:v>
                      </c:pt>
                    </c:numCache>
                  </c:numRef>
                </c:val>
                <c:extLst xmlns:c15="http://schemas.microsoft.com/office/drawing/2012/chart">
                  <c:ext xmlns:c16="http://schemas.microsoft.com/office/drawing/2014/chart" uri="{C3380CC4-5D6E-409C-BE32-E72D297353CC}">
                    <c16:uniqueId val="{00000009-73BB-4361-9404-2D1E07C27BB7}"/>
                  </c:ext>
                </c:extLst>
              </c15:ser>
            </c15:filteredBarSeries>
            <c15:filteredBarSeries>
              <c15:ser>
                <c:idx val="10"/>
                <c:order val="10"/>
                <c:tx>
                  <c:strRef>
                    <c:extLst xmlns:c15="http://schemas.microsoft.com/office/drawing/2012/chart">
                      <c:ext xmlns:c15="http://schemas.microsoft.com/office/drawing/2012/chart" uri="{02D57815-91ED-43cb-92C2-25804820EDAC}">
                        <c15:formulaRef>
                          <c15:sqref>Stats!$D$19</c15:sqref>
                        </c15:formulaRef>
                      </c:ext>
                    </c:extLst>
                    <c:strCache>
                      <c:ptCount val="1"/>
                      <c:pt idx="0">
                        <c:v>Rice Rice Baby</c:v>
                      </c:pt>
                    </c:strCache>
                  </c:strRef>
                </c:tx>
                <c:spPr>
                  <a:gradFill rotWithShape="1">
                    <a:gsLst>
                      <a:gs pos="0">
                        <a:schemeClr val="accent5">
                          <a:lumMod val="60000"/>
                          <a:satMod val="103000"/>
                          <a:lumMod val="102000"/>
                          <a:tint val="94000"/>
                        </a:schemeClr>
                      </a:gs>
                      <a:gs pos="50000">
                        <a:schemeClr val="accent5">
                          <a:lumMod val="60000"/>
                          <a:satMod val="110000"/>
                          <a:lumMod val="100000"/>
                          <a:shade val="100000"/>
                        </a:schemeClr>
                      </a:gs>
                      <a:gs pos="100000">
                        <a:schemeClr val="accent5">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xmlns:c15="http://schemas.microsoft.com/office/drawing/2012/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extLst>
                      <c:ext xmlns:c15="http://schemas.microsoft.com/office/drawing/2012/chart" uri="{02D57815-91ED-43cb-92C2-25804820EDAC}">
                        <c15:fullRef>
                          <c15:sqref>Stats!$E$8:$AP$8</c15:sqref>
                        </c15:fullRef>
                        <c15:formulaRef>
                          <c15:sqref>Stats!$AL$8</c15:sqref>
                        </c15:formulaRef>
                      </c:ext>
                    </c:extLst>
                    <c:strCache>
                      <c:ptCount val="1"/>
                      <c:pt idx="0">
                        <c:v>GW34</c:v>
                      </c:pt>
                    </c:strCache>
                  </c:strRef>
                </c:cat>
                <c:val>
                  <c:numRef>
                    <c:extLst>
                      <c:ext xmlns:c15="http://schemas.microsoft.com/office/drawing/2012/chart" uri="{02D57815-91ED-43cb-92C2-25804820EDAC}">
                        <c15:fullRef>
                          <c15:sqref>Stats!$E$19:$AP$19</c15:sqref>
                        </c15:fullRef>
                        <c15:formulaRef>
                          <c15:sqref>Stats!$AL$19</c15:sqref>
                        </c15:formulaRef>
                      </c:ext>
                    </c:extLst>
                    <c:numCache>
                      <c:formatCode>_-* #\ ##0_-;\-* #\ ##0_-;_-* "-"??_-;_-@_-</c:formatCode>
                      <c:ptCount val="1"/>
                      <c:pt idx="0">
                        <c:v>55</c:v>
                      </c:pt>
                    </c:numCache>
                  </c:numRef>
                </c:val>
                <c:extLst xmlns:c15="http://schemas.microsoft.com/office/drawing/2012/chart">
                  <c:ext xmlns:c16="http://schemas.microsoft.com/office/drawing/2014/chart" uri="{C3380CC4-5D6E-409C-BE32-E72D297353CC}">
                    <c16:uniqueId val="{0000000A-73BB-4361-9404-2D1E07C27BB7}"/>
                  </c:ext>
                </c:extLst>
              </c15:ser>
            </c15:filteredBarSeries>
            <c15:filteredBarSeries>
              <c15:ser>
                <c:idx val="11"/>
                <c:order val="11"/>
                <c:tx>
                  <c:strRef>
                    <c:extLst xmlns:c15="http://schemas.microsoft.com/office/drawing/2012/chart">
                      <c:ext xmlns:c15="http://schemas.microsoft.com/office/drawing/2012/chart" uri="{02D57815-91ED-43cb-92C2-25804820EDAC}">
                        <c15:formulaRef>
                          <c15:sqref>Stats!$D$20</c15:sqref>
                        </c15:formulaRef>
                      </c:ext>
                    </c:extLst>
                    <c:strCache>
                      <c:ptCount val="1"/>
                      <c:pt idx="0">
                        <c:v>Root_.5 FC</c:v>
                      </c:pt>
                    </c:strCache>
                  </c:strRef>
                </c:tx>
                <c:spPr>
                  <a:gradFill rotWithShape="1">
                    <a:gsLst>
                      <a:gs pos="0">
                        <a:schemeClr val="accent6">
                          <a:lumMod val="60000"/>
                          <a:satMod val="103000"/>
                          <a:lumMod val="102000"/>
                          <a:tint val="94000"/>
                        </a:schemeClr>
                      </a:gs>
                      <a:gs pos="50000">
                        <a:schemeClr val="accent6">
                          <a:lumMod val="60000"/>
                          <a:satMod val="110000"/>
                          <a:lumMod val="100000"/>
                          <a:shade val="100000"/>
                        </a:schemeClr>
                      </a:gs>
                      <a:gs pos="100000">
                        <a:schemeClr val="accent6">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xmlns:c15="http://schemas.microsoft.com/office/drawing/2012/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extLst>
                      <c:ext xmlns:c15="http://schemas.microsoft.com/office/drawing/2012/chart" uri="{02D57815-91ED-43cb-92C2-25804820EDAC}">
                        <c15:fullRef>
                          <c15:sqref>Stats!$E$8:$AP$8</c15:sqref>
                        </c15:fullRef>
                        <c15:formulaRef>
                          <c15:sqref>Stats!$AL$8</c15:sqref>
                        </c15:formulaRef>
                      </c:ext>
                    </c:extLst>
                    <c:strCache>
                      <c:ptCount val="1"/>
                      <c:pt idx="0">
                        <c:v>GW34</c:v>
                      </c:pt>
                    </c:strCache>
                  </c:strRef>
                </c:cat>
                <c:val>
                  <c:numRef>
                    <c:extLst>
                      <c:ext xmlns:c15="http://schemas.microsoft.com/office/drawing/2012/chart" uri="{02D57815-91ED-43cb-92C2-25804820EDAC}">
                        <c15:fullRef>
                          <c15:sqref>Stats!$E$20:$AP$20</c15:sqref>
                        </c15:fullRef>
                        <c15:formulaRef>
                          <c15:sqref>Stats!$AL$20</c15:sqref>
                        </c15:formulaRef>
                      </c:ext>
                    </c:extLst>
                    <c:numCache>
                      <c:formatCode>_-* #\ ##0_-;\-* #\ ##0_-;_-* "-"??_-;_-@_-</c:formatCode>
                      <c:ptCount val="1"/>
                      <c:pt idx="0">
                        <c:v>52</c:v>
                      </c:pt>
                    </c:numCache>
                  </c:numRef>
                </c:val>
                <c:extLst xmlns:c15="http://schemas.microsoft.com/office/drawing/2012/chart">
                  <c:ext xmlns:c16="http://schemas.microsoft.com/office/drawing/2014/chart" uri="{C3380CC4-5D6E-409C-BE32-E72D297353CC}">
                    <c16:uniqueId val="{0000000B-73BB-4361-9404-2D1E07C27BB7}"/>
                  </c:ext>
                </c:extLst>
              </c15:ser>
            </c15:filteredBarSeries>
            <c15:filteredBarSeries>
              <c15:ser>
                <c:idx val="12"/>
                <c:order val="12"/>
                <c:tx>
                  <c:strRef>
                    <c:extLst xmlns:c15="http://schemas.microsoft.com/office/drawing/2012/chart">
                      <c:ext xmlns:c15="http://schemas.microsoft.com/office/drawing/2012/chart" uri="{02D57815-91ED-43cb-92C2-25804820EDAC}">
                        <c15:formulaRef>
                          <c15:sqref>Stats!$D$21</c15:sqref>
                        </c15:formulaRef>
                      </c:ext>
                    </c:extLst>
                    <c:strCache>
                      <c:ptCount val="1"/>
                      <c:pt idx="0">
                        <c:v>Šeśko Mode</c:v>
                      </c:pt>
                    </c:strCache>
                  </c:strRef>
                </c:tx>
                <c:spPr>
                  <a:gradFill rotWithShape="1">
                    <a:gsLst>
                      <a:gs pos="0">
                        <a:schemeClr val="accent1">
                          <a:lumMod val="80000"/>
                          <a:lumOff val="20000"/>
                          <a:satMod val="103000"/>
                          <a:lumMod val="102000"/>
                          <a:tint val="94000"/>
                        </a:schemeClr>
                      </a:gs>
                      <a:gs pos="50000">
                        <a:schemeClr val="accent1">
                          <a:lumMod val="80000"/>
                          <a:lumOff val="20000"/>
                          <a:satMod val="110000"/>
                          <a:lumMod val="100000"/>
                          <a:shade val="100000"/>
                        </a:schemeClr>
                      </a:gs>
                      <a:gs pos="100000">
                        <a:schemeClr val="accent1">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xmlns:c15="http://schemas.microsoft.com/office/drawing/2012/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extLst>
                      <c:ext xmlns:c15="http://schemas.microsoft.com/office/drawing/2012/chart" uri="{02D57815-91ED-43cb-92C2-25804820EDAC}">
                        <c15:fullRef>
                          <c15:sqref>Stats!$E$8:$AP$8</c15:sqref>
                        </c15:fullRef>
                        <c15:formulaRef>
                          <c15:sqref>Stats!$AL$8</c15:sqref>
                        </c15:formulaRef>
                      </c:ext>
                    </c:extLst>
                    <c:strCache>
                      <c:ptCount val="1"/>
                      <c:pt idx="0">
                        <c:v>GW34</c:v>
                      </c:pt>
                    </c:strCache>
                  </c:strRef>
                </c:cat>
                <c:val>
                  <c:numRef>
                    <c:extLst>
                      <c:ext xmlns:c15="http://schemas.microsoft.com/office/drawing/2012/chart" uri="{02D57815-91ED-43cb-92C2-25804820EDAC}">
                        <c15:fullRef>
                          <c15:sqref>Stats!$E$21:$AP$21</c15:sqref>
                        </c15:fullRef>
                        <c15:formulaRef>
                          <c15:sqref>Stats!$AL$21</c15:sqref>
                        </c15:formulaRef>
                      </c:ext>
                    </c:extLst>
                    <c:numCache>
                      <c:formatCode>_-* #\ ##0_-;\-* #\ ##0_-;_-* "-"??_-;_-@_-</c:formatCode>
                      <c:ptCount val="1"/>
                      <c:pt idx="0">
                        <c:v>60</c:v>
                      </c:pt>
                    </c:numCache>
                  </c:numRef>
                </c:val>
                <c:extLst xmlns:c15="http://schemas.microsoft.com/office/drawing/2012/chart">
                  <c:ext xmlns:c16="http://schemas.microsoft.com/office/drawing/2014/chart" uri="{C3380CC4-5D6E-409C-BE32-E72D297353CC}">
                    <c16:uniqueId val="{0000000C-73BB-4361-9404-2D1E07C27BB7}"/>
                  </c:ext>
                </c:extLst>
              </c15:ser>
            </c15:filteredBarSeries>
            <c15:filteredBarSeries>
              <c15:ser>
                <c:idx val="13"/>
                <c:order val="13"/>
                <c:tx>
                  <c:strRef>
                    <c:extLst xmlns:c15="http://schemas.microsoft.com/office/drawing/2012/chart">
                      <c:ext xmlns:c15="http://schemas.microsoft.com/office/drawing/2012/chart" uri="{02D57815-91ED-43cb-92C2-25804820EDAC}">
                        <c15:formulaRef>
                          <c15:sqref>Stats!$D$22</c15:sqref>
                        </c15:formulaRef>
                      </c:ext>
                    </c:extLst>
                    <c:strCache>
                      <c:ptCount val="1"/>
                      <c:pt idx="0">
                        <c:v>Sthe Coqueto</c:v>
                      </c:pt>
                    </c:strCache>
                  </c:strRef>
                </c:tx>
                <c:spPr>
                  <a:gradFill rotWithShape="1">
                    <a:gsLst>
                      <a:gs pos="0">
                        <a:schemeClr val="accent2">
                          <a:lumMod val="80000"/>
                          <a:lumOff val="20000"/>
                          <a:satMod val="103000"/>
                          <a:lumMod val="102000"/>
                          <a:tint val="94000"/>
                        </a:schemeClr>
                      </a:gs>
                      <a:gs pos="50000">
                        <a:schemeClr val="accent2">
                          <a:lumMod val="80000"/>
                          <a:lumOff val="20000"/>
                          <a:satMod val="110000"/>
                          <a:lumMod val="100000"/>
                          <a:shade val="100000"/>
                        </a:schemeClr>
                      </a:gs>
                      <a:gs pos="100000">
                        <a:schemeClr val="accent2">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xmlns:c15="http://schemas.microsoft.com/office/drawing/2012/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extLst>
                      <c:ext xmlns:c15="http://schemas.microsoft.com/office/drawing/2012/chart" uri="{02D57815-91ED-43cb-92C2-25804820EDAC}">
                        <c15:fullRef>
                          <c15:sqref>Stats!$E$8:$AP$8</c15:sqref>
                        </c15:fullRef>
                        <c15:formulaRef>
                          <c15:sqref>Stats!$AL$8</c15:sqref>
                        </c15:formulaRef>
                      </c:ext>
                    </c:extLst>
                    <c:strCache>
                      <c:ptCount val="1"/>
                      <c:pt idx="0">
                        <c:v>GW34</c:v>
                      </c:pt>
                    </c:strCache>
                  </c:strRef>
                </c:cat>
                <c:val>
                  <c:numRef>
                    <c:extLst>
                      <c:ext xmlns:c15="http://schemas.microsoft.com/office/drawing/2012/chart" uri="{02D57815-91ED-43cb-92C2-25804820EDAC}">
                        <c15:fullRef>
                          <c15:sqref>Stats!$E$22:$AP$22</c15:sqref>
                        </c15:fullRef>
                        <c15:formulaRef>
                          <c15:sqref>Stats!$AL$22</c15:sqref>
                        </c15:formulaRef>
                      </c:ext>
                    </c:extLst>
                    <c:numCache>
                      <c:formatCode>_-* #\ ##0_-;\-* #\ ##0_-;_-* "-"??_-;_-@_-</c:formatCode>
                      <c:ptCount val="1"/>
                      <c:pt idx="0">
                        <c:v>38</c:v>
                      </c:pt>
                    </c:numCache>
                  </c:numRef>
                </c:val>
                <c:extLst xmlns:c15="http://schemas.microsoft.com/office/drawing/2012/chart">
                  <c:ext xmlns:c16="http://schemas.microsoft.com/office/drawing/2014/chart" uri="{C3380CC4-5D6E-409C-BE32-E72D297353CC}">
                    <c16:uniqueId val="{0000000D-73BB-4361-9404-2D1E07C27BB7}"/>
                  </c:ext>
                </c:extLst>
              </c15:ser>
            </c15:filteredBarSeries>
            <c15:filteredBarSeries>
              <c15:ser>
                <c:idx val="14"/>
                <c:order val="14"/>
                <c:tx>
                  <c:strRef>
                    <c:extLst xmlns:c15="http://schemas.microsoft.com/office/drawing/2012/chart">
                      <c:ext xmlns:c15="http://schemas.microsoft.com/office/drawing/2012/chart" uri="{02D57815-91ED-43cb-92C2-25804820EDAC}">
                        <c15:formulaRef>
                          <c15:sqref>Stats!$D$23</c15:sqref>
                        </c15:formulaRef>
                      </c:ext>
                    </c:extLst>
                    <c:strCache>
                      <c:ptCount val="1"/>
                      <c:pt idx="0">
                        <c:v>SzoboSlay</c:v>
                      </c:pt>
                    </c:strCache>
                  </c:strRef>
                </c:tx>
                <c:spPr>
                  <a:gradFill rotWithShape="1">
                    <a:gsLst>
                      <a:gs pos="0">
                        <a:schemeClr val="accent3">
                          <a:lumMod val="80000"/>
                          <a:lumOff val="20000"/>
                          <a:satMod val="103000"/>
                          <a:lumMod val="102000"/>
                          <a:tint val="94000"/>
                        </a:schemeClr>
                      </a:gs>
                      <a:gs pos="50000">
                        <a:schemeClr val="accent3">
                          <a:lumMod val="80000"/>
                          <a:lumOff val="20000"/>
                          <a:satMod val="110000"/>
                          <a:lumMod val="100000"/>
                          <a:shade val="100000"/>
                        </a:schemeClr>
                      </a:gs>
                      <a:gs pos="100000">
                        <a:schemeClr val="accent3">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xmlns:c15="http://schemas.microsoft.com/office/drawing/2012/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extLst>
                      <c:ext xmlns:c15="http://schemas.microsoft.com/office/drawing/2012/chart" uri="{02D57815-91ED-43cb-92C2-25804820EDAC}">
                        <c15:fullRef>
                          <c15:sqref>Stats!$E$8:$AP$8</c15:sqref>
                        </c15:fullRef>
                        <c15:formulaRef>
                          <c15:sqref>Stats!$AL$8</c15:sqref>
                        </c15:formulaRef>
                      </c:ext>
                    </c:extLst>
                    <c:strCache>
                      <c:ptCount val="1"/>
                      <c:pt idx="0">
                        <c:v>GW34</c:v>
                      </c:pt>
                    </c:strCache>
                  </c:strRef>
                </c:cat>
                <c:val>
                  <c:numRef>
                    <c:extLst>
                      <c:ext xmlns:c15="http://schemas.microsoft.com/office/drawing/2012/chart" uri="{02D57815-91ED-43cb-92C2-25804820EDAC}">
                        <c15:fullRef>
                          <c15:sqref>Stats!$E$23:$AP$23</c15:sqref>
                        </c15:fullRef>
                        <c15:formulaRef>
                          <c15:sqref>Stats!$AL$23</c15:sqref>
                        </c15:formulaRef>
                      </c:ext>
                    </c:extLst>
                    <c:numCache>
                      <c:formatCode>_-* #\ ##0_-;\-* #\ ##0_-;_-* "-"??_-;_-@_-</c:formatCode>
                      <c:ptCount val="1"/>
                      <c:pt idx="0">
                        <c:v>35</c:v>
                      </c:pt>
                    </c:numCache>
                  </c:numRef>
                </c:val>
                <c:extLst xmlns:c15="http://schemas.microsoft.com/office/drawing/2012/chart">
                  <c:ext xmlns:c16="http://schemas.microsoft.com/office/drawing/2014/chart" uri="{C3380CC4-5D6E-409C-BE32-E72D297353CC}">
                    <c16:uniqueId val="{0000000E-73BB-4361-9404-2D1E07C27BB7}"/>
                  </c:ext>
                </c:extLst>
              </c15:ser>
            </c15:filteredBarSeries>
            <c15:filteredBarSeries>
              <c15:ser>
                <c:idx val="15"/>
                <c:order val="15"/>
                <c:tx>
                  <c:strRef>
                    <c:extLst xmlns:c15="http://schemas.microsoft.com/office/drawing/2012/chart">
                      <c:ext xmlns:c15="http://schemas.microsoft.com/office/drawing/2012/chart" uri="{02D57815-91ED-43cb-92C2-25804820EDAC}">
                        <c15:formulaRef>
                          <c15:sqref>Stats!$D$24</c15:sqref>
                        </c15:formulaRef>
                      </c:ext>
                    </c:extLst>
                    <c:strCache>
                      <c:ptCount val="1"/>
                      <c:pt idx="0">
                        <c:v>TAYDO FC</c:v>
                      </c:pt>
                    </c:strCache>
                  </c:strRef>
                </c:tx>
                <c:spPr>
                  <a:gradFill rotWithShape="1">
                    <a:gsLst>
                      <a:gs pos="0">
                        <a:schemeClr val="accent4">
                          <a:lumMod val="80000"/>
                          <a:lumOff val="20000"/>
                          <a:satMod val="103000"/>
                          <a:lumMod val="102000"/>
                          <a:tint val="94000"/>
                        </a:schemeClr>
                      </a:gs>
                      <a:gs pos="50000">
                        <a:schemeClr val="accent4">
                          <a:lumMod val="80000"/>
                          <a:lumOff val="20000"/>
                          <a:satMod val="110000"/>
                          <a:lumMod val="100000"/>
                          <a:shade val="100000"/>
                        </a:schemeClr>
                      </a:gs>
                      <a:gs pos="100000">
                        <a:schemeClr val="accent4">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xmlns:c15="http://schemas.microsoft.com/office/drawing/2012/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extLst>
                      <c:ext xmlns:c15="http://schemas.microsoft.com/office/drawing/2012/chart" uri="{02D57815-91ED-43cb-92C2-25804820EDAC}">
                        <c15:fullRef>
                          <c15:sqref>Stats!$E$8:$AP$8</c15:sqref>
                        </c15:fullRef>
                        <c15:formulaRef>
                          <c15:sqref>Stats!$AL$8</c15:sqref>
                        </c15:formulaRef>
                      </c:ext>
                    </c:extLst>
                    <c:strCache>
                      <c:ptCount val="1"/>
                      <c:pt idx="0">
                        <c:v>GW34</c:v>
                      </c:pt>
                    </c:strCache>
                  </c:strRef>
                </c:cat>
                <c:val>
                  <c:numRef>
                    <c:extLst>
                      <c:ext xmlns:c15="http://schemas.microsoft.com/office/drawing/2012/chart" uri="{02D57815-91ED-43cb-92C2-25804820EDAC}">
                        <c15:fullRef>
                          <c15:sqref>Stats!$E$24:$AP$24</c15:sqref>
                        </c15:fullRef>
                        <c15:formulaRef>
                          <c15:sqref>Stats!$AL$24</c15:sqref>
                        </c15:formulaRef>
                      </c:ext>
                    </c:extLst>
                    <c:numCache>
                      <c:formatCode>_-* #\ ##0_-;\-* #\ ##0_-;_-* "-"??_-;_-@_-</c:formatCode>
                      <c:ptCount val="1"/>
                      <c:pt idx="0">
                        <c:v>61</c:v>
                      </c:pt>
                    </c:numCache>
                  </c:numRef>
                </c:val>
                <c:extLst xmlns:c15="http://schemas.microsoft.com/office/drawing/2012/chart">
                  <c:ext xmlns:c16="http://schemas.microsoft.com/office/drawing/2014/chart" uri="{C3380CC4-5D6E-409C-BE32-E72D297353CC}">
                    <c16:uniqueId val="{0000000F-73BB-4361-9404-2D1E07C27BB7}"/>
                  </c:ext>
                </c:extLst>
              </c15:ser>
            </c15:filteredBarSeries>
            <c15:filteredBarSeries>
              <c15:ser>
                <c:idx val="16"/>
                <c:order val="16"/>
                <c:tx>
                  <c:strRef>
                    <c:extLst xmlns:c15="http://schemas.microsoft.com/office/drawing/2012/chart">
                      <c:ext xmlns:c15="http://schemas.microsoft.com/office/drawing/2012/chart" uri="{02D57815-91ED-43cb-92C2-25804820EDAC}">
                        <c15:formulaRef>
                          <c15:sqref>Stats!$D$25</c15:sqref>
                        </c15:formulaRef>
                      </c:ext>
                    </c:extLst>
                    <c:strCache>
                      <c:ptCount val="1"/>
                      <c:pt idx="0">
                        <c:v>Walala WaSalah</c:v>
                      </c:pt>
                    </c:strCache>
                  </c:strRef>
                </c:tx>
                <c:spPr>
                  <a:gradFill rotWithShape="1">
                    <a:gsLst>
                      <a:gs pos="0">
                        <a:schemeClr val="accent5">
                          <a:lumMod val="80000"/>
                          <a:lumOff val="20000"/>
                          <a:satMod val="103000"/>
                          <a:lumMod val="102000"/>
                          <a:tint val="94000"/>
                        </a:schemeClr>
                      </a:gs>
                      <a:gs pos="50000">
                        <a:schemeClr val="accent5">
                          <a:lumMod val="80000"/>
                          <a:lumOff val="20000"/>
                          <a:satMod val="110000"/>
                          <a:lumMod val="100000"/>
                          <a:shade val="100000"/>
                        </a:schemeClr>
                      </a:gs>
                      <a:gs pos="100000">
                        <a:schemeClr val="accent5">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xmlns:c15="http://schemas.microsoft.com/office/drawing/2012/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extLst>
                      <c:ext xmlns:c15="http://schemas.microsoft.com/office/drawing/2012/chart" uri="{02D57815-91ED-43cb-92C2-25804820EDAC}">
                        <c15:fullRef>
                          <c15:sqref>Stats!$E$8:$AP$8</c15:sqref>
                        </c15:fullRef>
                        <c15:formulaRef>
                          <c15:sqref>Stats!$AL$8</c15:sqref>
                        </c15:formulaRef>
                      </c:ext>
                    </c:extLst>
                    <c:strCache>
                      <c:ptCount val="1"/>
                      <c:pt idx="0">
                        <c:v>GW34</c:v>
                      </c:pt>
                    </c:strCache>
                  </c:strRef>
                </c:cat>
                <c:val>
                  <c:numRef>
                    <c:extLst>
                      <c:ext xmlns:c15="http://schemas.microsoft.com/office/drawing/2012/chart" uri="{02D57815-91ED-43cb-92C2-25804820EDAC}">
                        <c15:fullRef>
                          <c15:sqref>Stats!$E$25:$AP$25</c15:sqref>
                        </c15:fullRef>
                        <c15:formulaRef>
                          <c15:sqref>Stats!$AL$25</c15:sqref>
                        </c15:formulaRef>
                      </c:ext>
                    </c:extLst>
                    <c:numCache>
                      <c:formatCode>_-* #\ ##0_-;\-* #\ ##0_-;_-* "-"??_-;_-@_-</c:formatCode>
                      <c:ptCount val="1"/>
                      <c:pt idx="0">
                        <c:v>56</c:v>
                      </c:pt>
                    </c:numCache>
                  </c:numRef>
                </c:val>
                <c:extLst xmlns:c15="http://schemas.microsoft.com/office/drawing/2012/chart">
                  <c:ext xmlns:c16="http://schemas.microsoft.com/office/drawing/2014/chart" uri="{C3380CC4-5D6E-409C-BE32-E72D297353CC}">
                    <c16:uniqueId val="{00000010-73BB-4361-9404-2D1E07C27BB7}"/>
                  </c:ext>
                </c:extLst>
              </c15:ser>
            </c15:filteredBarSeries>
            <c15:filteredBarSeries>
              <c15:ser>
                <c:idx val="17"/>
                <c:order val="17"/>
                <c:tx>
                  <c:strRef>
                    <c:extLst xmlns:c15="http://schemas.microsoft.com/office/drawing/2012/chart">
                      <c:ext xmlns:c15="http://schemas.microsoft.com/office/drawing/2012/chart" uri="{02D57815-91ED-43cb-92C2-25804820EDAC}">
                        <c15:formulaRef>
                          <c15:sqref>Stats!$D$26</c15:sqref>
                        </c15:formulaRef>
                      </c:ext>
                    </c:extLst>
                    <c:strCache>
                      <c:ptCount val="1"/>
                    </c:strCache>
                  </c:strRef>
                </c:tx>
                <c:spPr>
                  <a:gradFill rotWithShape="1">
                    <a:gsLst>
                      <a:gs pos="0">
                        <a:schemeClr val="accent6">
                          <a:lumMod val="80000"/>
                          <a:lumOff val="20000"/>
                          <a:satMod val="103000"/>
                          <a:lumMod val="102000"/>
                          <a:tint val="94000"/>
                        </a:schemeClr>
                      </a:gs>
                      <a:gs pos="50000">
                        <a:schemeClr val="accent6">
                          <a:lumMod val="80000"/>
                          <a:lumOff val="20000"/>
                          <a:satMod val="110000"/>
                          <a:lumMod val="100000"/>
                          <a:shade val="100000"/>
                        </a:schemeClr>
                      </a:gs>
                      <a:gs pos="100000">
                        <a:schemeClr val="accent6">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xmlns:c15="http://schemas.microsoft.com/office/drawing/2012/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extLst>
                      <c:ext xmlns:c15="http://schemas.microsoft.com/office/drawing/2012/chart" uri="{02D57815-91ED-43cb-92C2-25804820EDAC}">
                        <c15:fullRef>
                          <c15:sqref>Stats!$E$8:$AP$8</c15:sqref>
                        </c15:fullRef>
                        <c15:formulaRef>
                          <c15:sqref>Stats!$AL$8</c15:sqref>
                        </c15:formulaRef>
                      </c:ext>
                    </c:extLst>
                    <c:strCache>
                      <c:ptCount val="1"/>
                      <c:pt idx="0">
                        <c:v>GW34</c:v>
                      </c:pt>
                    </c:strCache>
                  </c:strRef>
                </c:cat>
                <c:val>
                  <c:numRef>
                    <c:extLst>
                      <c:ext xmlns:c15="http://schemas.microsoft.com/office/drawing/2012/chart" uri="{02D57815-91ED-43cb-92C2-25804820EDAC}">
                        <c15:fullRef>
                          <c15:sqref>Stats!$E$26:$AP$26</c15:sqref>
                        </c15:fullRef>
                        <c15:formulaRef>
                          <c15:sqref>Stats!$AL$26</c15:sqref>
                        </c15:formulaRef>
                      </c:ext>
                    </c:extLst>
                    <c:numCache>
                      <c:formatCode>General</c:formatCode>
                      <c:ptCount val="1"/>
                    </c:numCache>
                  </c:numRef>
                </c:val>
                <c:extLst xmlns:c15="http://schemas.microsoft.com/office/drawing/2012/chart">
                  <c:ext xmlns:c16="http://schemas.microsoft.com/office/drawing/2014/chart" uri="{C3380CC4-5D6E-409C-BE32-E72D297353CC}">
                    <c16:uniqueId val="{00000011-73BB-4361-9404-2D1E07C27BB7}"/>
                  </c:ext>
                </c:extLst>
              </c15:ser>
            </c15:filteredBarSeries>
            <c15:filteredBarSeries>
              <c15:ser>
                <c:idx val="18"/>
                <c:order val="18"/>
                <c:tx>
                  <c:strRef>
                    <c:extLst xmlns:c15="http://schemas.microsoft.com/office/drawing/2012/chart">
                      <c:ext xmlns:c15="http://schemas.microsoft.com/office/drawing/2012/chart" uri="{02D57815-91ED-43cb-92C2-25804820EDAC}">
                        <c15:formulaRef>
                          <c15:sqref>Stats!$D$27</c15:sqref>
                        </c15:formulaRef>
                      </c:ext>
                    </c:extLst>
                    <c:strCache>
                      <c:ptCount val="1"/>
                      <c:pt idx="0">
                        <c:v>League total</c:v>
                      </c:pt>
                    </c:strCache>
                  </c:strRef>
                </c:tx>
                <c:spPr>
                  <a:gradFill rotWithShape="1">
                    <a:gsLst>
                      <a:gs pos="0">
                        <a:schemeClr val="accent1">
                          <a:lumMod val="80000"/>
                          <a:satMod val="103000"/>
                          <a:lumMod val="102000"/>
                          <a:tint val="94000"/>
                        </a:schemeClr>
                      </a:gs>
                      <a:gs pos="50000">
                        <a:schemeClr val="accent1">
                          <a:lumMod val="80000"/>
                          <a:satMod val="110000"/>
                          <a:lumMod val="100000"/>
                          <a:shade val="100000"/>
                        </a:schemeClr>
                      </a:gs>
                      <a:gs pos="100000">
                        <a:schemeClr val="accent1">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xmlns:c15="http://schemas.microsoft.com/office/drawing/2012/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extLst>
                      <c:ext xmlns:c15="http://schemas.microsoft.com/office/drawing/2012/chart" uri="{02D57815-91ED-43cb-92C2-25804820EDAC}">
                        <c15:fullRef>
                          <c15:sqref>Stats!$E$8:$AP$8</c15:sqref>
                        </c15:fullRef>
                        <c15:formulaRef>
                          <c15:sqref>Stats!$AL$8</c15:sqref>
                        </c15:formulaRef>
                      </c:ext>
                    </c:extLst>
                    <c:strCache>
                      <c:ptCount val="1"/>
                      <c:pt idx="0">
                        <c:v>GW34</c:v>
                      </c:pt>
                    </c:strCache>
                  </c:strRef>
                </c:cat>
                <c:val>
                  <c:numRef>
                    <c:extLst>
                      <c:ext xmlns:c15="http://schemas.microsoft.com/office/drawing/2012/chart" uri="{02D57815-91ED-43cb-92C2-25804820EDAC}">
                        <c15:fullRef>
                          <c15:sqref>Stats!$E$27:$AP$27</c15:sqref>
                        </c15:fullRef>
                        <c15:formulaRef>
                          <c15:sqref>Stats!$AL$27</c15:sqref>
                        </c15:formulaRef>
                      </c:ext>
                    </c:extLst>
                    <c:numCache>
                      <c:formatCode>_-* #\ ##0_-;\-* #\ ##0_-;_-* "-"??_-;_-@_-</c:formatCode>
                      <c:ptCount val="1"/>
                      <c:pt idx="0">
                        <c:v>886</c:v>
                      </c:pt>
                    </c:numCache>
                  </c:numRef>
                </c:val>
                <c:extLst xmlns:c15="http://schemas.microsoft.com/office/drawing/2012/chart">
                  <c:ext xmlns:c16="http://schemas.microsoft.com/office/drawing/2014/chart" uri="{C3380CC4-5D6E-409C-BE32-E72D297353CC}">
                    <c16:uniqueId val="{00000012-73BB-4361-9404-2D1E07C27BB7}"/>
                  </c:ext>
                </c:extLst>
              </c15:ser>
            </c15:filteredBarSeries>
          </c:ext>
        </c:extLst>
      </c:barChart>
      <c:catAx>
        <c:axId val="1945095343"/>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45096303"/>
        <c:crosses val="autoZero"/>
        <c:auto val="1"/>
        <c:lblAlgn val="ctr"/>
        <c:lblOffset val="100"/>
        <c:noMultiLvlLbl val="0"/>
      </c:catAx>
      <c:valAx>
        <c:axId val="1945096303"/>
        <c:scaling>
          <c:orientation val="minMax"/>
        </c:scaling>
        <c:delete val="0"/>
        <c:axPos val="l"/>
        <c:majorGridlines>
          <c:spPr>
            <a:ln w="9525" cap="flat" cmpd="sng" algn="ctr">
              <a:solidFill>
                <a:schemeClr val="tx1">
                  <a:lumMod val="15000"/>
                  <a:lumOff val="85000"/>
                </a:schemeClr>
              </a:solidFill>
              <a:round/>
            </a:ln>
            <a:effectLst/>
          </c:spPr>
        </c:majorGridlines>
        <c:numFmt formatCode="_(* #,##0.00_);_(* \(#,##0.0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45095343"/>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ZA"/>
              <a:t>Trend</a:t>
            </a:r>
            <a:r>
              <a:rPr lang="en-ZA" baseline="0"/>
              <a:t> analysis</a:t>
            </a:r>
            <a:endParaRPr lang="en-ZA"/>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ZA"/>
        </a:p>
      </c:txPr>
    </c:title>
    <c:autoTitleDeleted val="0"/>
    <c:plotArea>
      <c:layout/>
      <c:lineChart>
        <c:grouping val="standard"/>
        <c:varyColors val="0"/>
        <c:ser>
          <c:idx val="0"/>
          <c:order val="0"/>
          <c:tx>
            <c:strRef>
              <c:f>Stats!$D$9</c:f>
              <c:strCache>
                <c:ptCount val="1"/>
                <c:pt idx="0">
                  <c:v>A Cunha Matata</c:v>
                </c:pt>
              </c:strCache>
            </c:strRef>
          </c:tx>
          <c:spPr>
            <a:ln w="28575" cap="rnd">
              <a:solidFill>
                <a:schemeClr val="accent1"/>
              </a:solidFill>
              <a:round/>
            </a:ln>
            <a:effectLst/>
          </c:spPr>
          <c:marker>
            <c:symbol val="none"/>
          </c:marker>
          <c:cat>
            <c:strRef>
              <c:extLst>
                <c:ext xmlns:c15="http://schemas.microsoft.com/office/drawing/2012/chart" uri="{02D57815-91ED-43cb-92C2-25804820EDAC}">
                  <c15:fullRef>
                    <c15:sqref>Stats!$E$8:$AP$8</c15:sqref>
                  </c15:fullRef>
                </c:ext>
              </c:extLst>
              <c:f>Stats!$E$8:$AL$8</c:f>
              <c:strCache>
                <c:ptCount val="34"/>
                <c:pt idx="0">
                  <c:v>GW1</c:v>
                </c:pt>
                <c:pt idx="1">
                  <c:v>GW2</c:v>
                </c:pt>
                <c:pt idx="2">
                  <c:v>GW3</c:v>
                </c:pt>
                <c:pt idx="3">
                  <c:v>GW4</c:v>
                </c:pt>
                <c:pt idx="4">
                  <c:v>GW5</c:v>
                </c:pt>
                <c:pt idx="5">
                  <c:v>GW6</c:v>
                </c:pt>
                <c:pt idx="6">
                  <c:v>GW7</c:v>
                </c:pt>
                <c:pt idx="7">
                  <c:v>GW8</c:v>
                </c:pt>
                <c:pt idx="8">
                  <c:v>GW9</c:v>
                </c:pt>
                <c:pt idx="9">
                  <c:v>GW10</c:v>
                </c:pt>
                <c:pt idx="10">
                  <c:v>GW11</c:v>
                </c:pt>
                <c:pt idx="11">
                  <c:v>GW12</c:v>
                </c:pt>
                <c:pt idx="12">
                  <c:v>GW13</c:v>
                </c:pt>
                <c:pt idx="13">
                  <c:v>GW14</c:v>
                </c:pt>
                <c:pt idx="14">
                  <c:v>GW15</c:v>
                </c:pt>
                <c:pt idx="15">
                  <c:v>GW16</c:v>
                </c:pt>
                <c:pt idx="16">
                  <c:v>GW17</c:v>
                </c:pt>
                <c:pt idx="17">
                  <c:v>GW18</c:v>
                </c:pt>
                <c:pt idx="18">
                  <c:v>GW19</c:v>
                </c:pt>
                <c:pt idx="19">
                  <c:v>GW20</c:v>
                </c:pt>
                <c:pt idx="20">
                  <c:v>GW21</c:v>
                </c:pt>
                <c:pt idx="21">
                  <c:v>GW22</c:v>
                </c:pt>
                <c:pt idx="22">
                  <c:v>GW23</c:v>
                </c:pt>
                <c:pt idx="23">
                  <c:v>GW24</c:v>
                </c:pt>
                <c:pt idx="24">
                  <c:v>GW25</c:v>
                </c:pt>
                <c:pt idx="25">
                  <c:v>GW26</c:v>
                </c:pt>
                <c:pt idx="26">
                  <c:v>GW27</c:v>
                </c:pt>
                <c:pt idx="27">
                  <c:v>GW28</c:v>
                </c:pt>
                <c:pt idx="28">
                  <c:v>GW29</c:v>
                </c:pt>
                <c:pt idx="29">
                  <c:v>GW30</c:v>
                </c:pt>
                <c:pt idx="30">
                  <c:v>GW31</c:v>
                </c:pt>
                <c:pt idx="31">
                  <c:v>GW32</c:v>
                </c:pt>
                <c:pt idx="32">
                  <c:v>GW33</c:v>
                </c:pt>
                <c:pt idx="33">
                  <c:v>GW34</c:v>
                </c:pt>
              </c:strCache>
            </c:strRef>
          </c:cat>
          <c:val>
            <c:numRef>
              <c:extLst>
                <c:ext xmlns:c15="http://schemas.microsoft.com/office/drawing/2012/chart" uri="{02D57815-91ED-43cb-92C2-25804820EDAC}">
                  <c15:fullRef>
                    <c15:sqref>Stats!$E$9:$AP$9</c15:sqref>
                  </c15:fullRef>
                </c:ext>
              </c:extLst>
              <c:f>Stats!$E$9:$AL$9</c:f>
              <c:numCache>
                <c:formatCode>_-* #\ ##0_-;\-* #\ ##0_-;_-* "-"??_-;_-@_-</c:formatCode>
                <c:ptCount val="34"/>
                <c:pt idx="0">
                  <c:v>47</c:v>
                </c:pt>
                <c:pt idx="1">
                  <c:v>47</c:v>
                </c:pt>
                <c:pt idx="2">
                  <c:v>50</c:v>
                </c:pt>
                <c:pt idx="3">
                  <c:v>59</c:v>
                </c:pt>
                <c:pt idx="4">
                  <c:v>57</c:v>
                </c:pt>
                <c:pt idx="5">
                  <c:v>26</c:v>
                </c:pt>
                <c:pt idx="6">
                  <c:v>87</c:v>
                </c:pt>
                <c:pt idx="7">
                  <c:v>72</c:v>
                </c:pt>
                <c:pt idx="8">
                  <c:v>38</c:v>
                </c:pt>
                <c:pt idx="9">
                  <c:v>54</c:v>
                </c:pt>
                <c:pt idx="10">
                  <c:v>50</c:v>
                </c:pt>
                <c:pt idx="11">
                  <c:v>35</c:v>
                </c:pt>
                <c:pt idx="12">
                  <c:v>26</c:v>
                </c:pt>
                <c:pt idx="13">
                  <c:v>63</c:v>
                </c:pt>
                <c:pt idx="14">
                  <c:v>56</c:v>
                </c:pt>
                <c:pt idx="15">
                  <c:v>78</c:v>
                </c:pt>
                <c:pt idx="16">
                  <c:v>69</c:v>
                </c:pt>
                <c:pt idx="17">
                  <c:v>33</c:v>
                </c:pt>
                <c:pt idx="18">
                  <c:v>27</c:v>
                </c:pt>
                <c:pt idx="19">
                  <c:v>57</c:v>
                </c:pt>
                <c:pt idx="20">
                  <c:v>66</c:v>
                </c:pt>
                <c:pt idx="21">
                  <c:v>33</c:v>
                </c:pt>
                <c:pt idx="22">
                  <c:v>54</c:v>
                </c:pt>
                <c:pt idx="23">
                  <c:v>40</c:v>
                </c:pt>
                <c:pt idx="24">
                  <c:v>75</c:v>
                </c:pt>
                <c:pt idx="25">
                  <c:v>47</c:v>
                </c:pt>
                <c:pt idx="26">
                  <c:v>52</c:v>
                </c:pt>
                <c:pt idx="27">
                  <c:v>75</c:v>
                </c:pt>
                <c:pt idx="28">
                  <c:v>50</c:v>
                </c:pt>
                <c:pt idx="29">
                  <c:v>51</c:v>
                </c:pt>
                <c:pt idx="30">
                  <c:v>62</c:v>
                </c:pt>
                <c:pt idx="31">
                  <c:v>45</c:v>
                </c:pt>
                <c:pt idx="32">
                  <c:v>78</c:v>
                </c:pt>
                <c:pt idx="33">
                  <c:v>51</c:v>
                </c:pt>
              </c:numCache>
            </c:numRef>
          </c:val>
          <c:smooth val="0"/>
          <c:extLst>
            <c:ext xmlns:c16="http://schemas.microsoft.com/office/drawing/2014/chart" uri="{C3380CC4-5D6E-409C-BE32-E72D297353CC}">
              <c16:uniqueId val="{00000000-4B15-424B-809B-F128746D1764}"/>
            </c:ext>
          </c:extLst>
        </c:ser>
        <c:ser>
          <c:idx val="1"/>
          <c:order val="1"/>
          <c:tx>
            <c:strRef>
              <c:f>Stats!$D$10</c:f>
              <c:strCache>
                <c:ptCount val="1"/>
                <c:pt idx="0">
                  <c:v>Boehlys World Champs</c:v>
                </c:pt>
              </c:strCache>
            </c:strRef>
          </c:tx>
          <c:spPr>
            <a:ln w="28575" cap="rnd">
              <a:solidFill>
                <a:schemeClr val="accent2"/>
              </a:solidFill>
              <a:round/>
            </a:ln>
            <a:effectLst/>
          </c:spPr>
          <c:marker>
            <c:symbol val="none"/>
          </c:marker>
          <c:cat>
            <c:strRef>
              <c:extLst>
                <c:ext xmlns:c15="http://schemas.microsoft.com/office/drawing/2012/chart" uri="{02D57815-91ED-43cb-92C2-25804820EDAC}">
                  <c15:fullRef>
                    <c15:sqref>Stats!$E$8:$AP$8</c15:sqref>
                  </c15:fullRef>
                </c:ext>
              </c:extLst>
              <c:f>Stats!$E$8:$AL$8</c:f>
              <c:strCache>
                <c:ptCount val="34"/>
                <c:pt idx="0">
                  <c:v>GW1</c:v>
                </c:pt>
                <c:pt idx="1">
                  <c:v>GW2</c:v>
                </c:pt>
                <c:pt idx="2">
                  <c:v>GW3</c:v>
                </c:pt>
                <c:pt idx="3">
                  <c:v>GW4</c:v>
                </c:pt>
                <c:pt idx="4">
                  <c:v>GW5</c:v>
                </c:pt>
                <c:pt idx="5">
                  <c:v>GW6</c:v>
                </c:pt>
                <c:pt idx="6">
                  <c:v>GW7</c:v>
                </c:pt>
                <c:pt idx="7">
                  <c:v>GW8</c:v>
                </c:pt>
                <c:pt idx="8">
                  <c:v>GW9</c:v>
                </c:pt>
                <c:pt idx="9">
                  <c:v>GW10</c:v>
                </c:pt>
                <c:pt idx="10">
                  <c:v>GW11</c:v>
                </c:pt>
                <c:pt idx="11">
                  <c:v>GW12</c:v>
                </c:pt>
                <c:pt idx="12">
                  <c:v>GW13</c:v>
                </c:pt>
                <c:pt idx="13">
                  <c:v>GW14</c:v>
                </c:pt>
                <c:pt idx="14">
                  <c:v>GW15</c:v>
                </c:pt>
                <c:pt idx="15">
                  <c:v>GW16</c:v>
                </c:pt>
                <c:pt idx="16">
                  <c:v>GW17</c:v>
                </c:pt>
                <c:pt idx="17">
                  <c:v>GW18</c:v>
                </c:pt>
                <c:pt idx="18">
                  <c:v>GW19</c:v>
                </c:pt>
                <c:pt idx="19">
                  <c:v>GW20</c:v>
                </c:pt>
                <c:pt idx="20">
                  <c:v>GW21</c:v>
                </c:pt>
                <c:pt idx="21">
                  <c:v>GW22</c:v>
                </c:pt>
                <c:pt idx="22">
                  <c:v>GW23</c:v>
                </c:pt>
                <c:pt idx="23">
                  <c:v>GW24</c:v>
                </c:pt>
                <c:pt idx="24">
                  <c:v>GW25</c:v>
                </c:pt>
                <c:pt idx="25">
                  <c:v>GW26</c:v>
                </c:pt>
                <c:pt idx="26">
                  <c:v>GW27</c:v>
                </c:pt>
                <c:pt idx="27">
                  <c:v>GW28</c:v>
                </c:pt>
                <c:pt idx="28">
                  <c:v>GW29</c:v>
                </c:pt>
                <c:pt idx="29">
                  <c:v>GW30</c:v>
                </c:pt>
                <c:pt idx="30">
                  <c:v>GW31</c:v>
                </c:pt>
                <c:pt idx="31">
                  <c:v>GW32</c:v>
                </c:pt>
                <c:pt idx="32">
                  <c:v>GW33</c:v>
                </c:pt>
                <c:pt idx="33">
                  <c:v>GW34</c:v>
                </c:pt>
              </c:strCache>
            </c:strRef>
          </c:cat>
          <c:val>
            <c:numRef>
              <c:extLst>
                <c:ext xmlns:c15="http://schemas.microsoft.com/office/drawing/2012/chart" uri="{02D57815-91ED-43cb-92C2-25804820EDAC}">
                  <c15:fullRef>
                    <c15:sqref>Stats!$E$10:$AP$10</c15:sqref>
                  </c15:fullRef>
                </c:ext>
              </c:extLst>
              <c:f>Stats!$E$10:$AL$10</c:f>
              <c:numCache>
                <c:formatCode>_-* #\ ##0_-;\-* #\ ##0_-;_-* "-"??_-;_-@_-</c:formatCode>
                <c:ptCount val="34"/>
                <c:pt idx="0">
                  <c:v>64</c:v>
                </c:pt>
                <c:pt idx="1">
                  <c:v>54</c:v>
                </c:pt>
                <c:pt idx="2">
                  <c:v>52</c:v>
                </c:pt>
                <c:pt idx="3">
                  <c:v>78</c:v>
                </c:pt>
                <c:pt idx="4">
                  <c:v>30</c:v>
                </c:pt>
                <c:pt idx="5">
                  <c:v>44</c:v>
                </c:pt>
                <c:pt idx="6">
                  <c:v>53</c:v>
                </c:pt>
                <c:pt idx="7">
                  <c:v>60</c:v>
                </c:pt>
                <c:pt idx="8">
                  <c:v>43</c:v>
                </c:pt>
                <c:pt idx="9">
                  <c:v>57</c:v>
                </c:pt>
                <c:pt idx="10">
                  <c:v>28</c:v>
                </c:pt>
                <c:pt idx="11">
                  <c:v>48</c:v>
                </c:pt>
                <c:pt idx="12">
                  <c:v>29</c:v>
                </c:pt>
                <c:pt idx="13">
                  <c:v>68</c:v>
                </c:pt>
                <c:pt idx="14">
                  <c:v>42</c:v>
                </c:pt>
                <c:pt idx="15">
                  <c:v>54</c:v>
                </c:pt>
                <c:pt idx="16">
                  <c:v>67</c:v>
                </c:pt>
                <c:pt idx="17">
                  <c:v>52</c:v>
                </c:pt>
                <c:pt idx="18">
                  <c:v>38</c:v>
                </c:pt>
                <c:pt idx="19">
                  <c:v>54</c:v>
                </c:pt>
                <c:pt idx="20">
                  <c:v>51</c:v>
                </c:pt>
                <c:pt idx="21">
                  <c:v>32</c:v>
                </c:pt>
                <c:pt idx="22">
                  <c:v>56</c:v>
                </c:pt>
                <c:pt idx="23">
                  <c:v>52</c:v>
                </c:pt>
                <c:pt idx="24">
                  <c:v>68</c:v>
                </c:pt>
                <c:pt idx="25">
                  <c:v>50</c:v>
                </c:pt>
                <c:pt idx="26">
                  <c:v>41</c:v>
                </c:pt>
                <c:pt idx="27">
                  <c:v>76</c:v>
                </c:pt>
                <c:pt idx="28">
                  <c:v>79</c:v>
                </c:pt>
                <c:pt idx="29">
                  <c:v>48</c:v>
                </c:pt>
                <c:pt idx="30">
                  <c:v>44</c:v>
                </c:pt>
                <c:pt idx="31">
                  <c:v>59</c:v>
                </c:pt>
                <c:pt idx="32">
                  <c:v>52</c:v>
                </c:pt>
                <c:pt idx="33">
                  <c:v>74</c:v>
                </c:pt>
              </c:numCache>
            </c:numRef>
          </c:val>
          <c:smooth val="0"/>
          <c:extLst>
            <c:ext xmlns:c16="http://schemas.microsoft.com/office/drawing/2014/chart" uri="{C3380CC4-5D6E-409C-BE32-E72D297353CC}">
              <c16:uniqueId val="{00000001-4B15-424B-809B-F128746D1764}"/>
            </c:ext>
          </c:extLst>
        </c:ser>
        <c:ser>
          <c:idx val="2"/>
          <c:order val="2"/>
          <c:tx>
            <c:strRef>
              <c:f>Stats!$D$11</c:f>
              <c:strCache>
                <c:ptCount val="1"/>
                <c:pt idx="0">
                  <c:v>Bruno, dos, tres</c:v>
                </c:pt>
              </c:strCache>
            </c:strRef>
          </c:tx>
          <c:spPr>
            <a:ln w="28575" cap="rnd">
              <a:solidFill>
                <a:schemeClr val="accent3"/>
              </a:solidFill>
              <a:round/>
            </a:ln>
            <a:effectLst/>
          </c:spPr>
          <c:marker>
            <c:symbol val="none"/>
          </c:marker>
          <c:cat>
            <c:strRef>
              <c:extLst>
                <c:ext xmlns:c15="http://schemas.microsoft.com/office/drawing/2012/chart" uri="{02D57815-91ED-43cb-92C2-25804820EDAC}">
                  <c15:fullRef>
                    <c15:sqref>Stats!$E$8:$AP$8</c15:sqref>
                  </c15:fullRef>
                </c:ext>
              </c:extLst>
              <c:f>Stats!$E$8:$AL$8</c:f>
              <c:strCache>
                <c:ptCount val="34"/>
                <c:pt idx="0">
                  <c:v>GW1</c:v>
                </c:pt>
                <c:pt idx="1">
                  <c:v>GW2</c:v>
                </c:pt>
                <c:pt idx="2">
                  <c:v>GW3</c:v>
                </c:pt>
                <c:pt idx="3">
                  <c:v>GW4</c:v>
                </c:pt>
                <c:pt idx="4">
                  <c:v>GW5</c:v>
                </c:pt>
                <c:pt idx="5">
                  <c:v>GW6</c:v>
                </c:pt>
                <c:pt idx="6">
                  <c:v>GW7</c:v>
                </c:pt>
                <c:pt idx="7">
                  <c:v>GW8</c:v>
                </c:pt>
                <c:pt idx="8">
                  <c:v>GW9</c:v>
                </c:pt>
                <c:pt idx="9">
                  <c:v>GW10</c:v>
                </c:pt>
                <c:pt idx="10">
                  <c:v>GW11</c:v>
                </c:pt>
                <c:pt idx="11">
                  <c:v>GW12</c:v>
                </c:pt>
                <c:pt idx="12">
                  <c:v>GW13</c:v>
                </c:pt>
                <c:pt idx="13">
                  <c:v>GW14</c:v>
                </c:pt>
                <c:pt idx="14">
                  <c:v>GW15</c:v>
                </c:pt>
                <c:pt idx="15">
                  <c:v>GW16</c:v>
                </c:pt>
                <c:pt idx="16">
                  <c:v>GW17</c:v>
                </c:pt>
                <c:pt idx="17">
                  <c:v>GW18</c:v>
                </c:pt>
                <c:pt idx="18">
                  <c:v>GW19</c:v>
                </c:pt>
                <c:pt idx="19">
                  <c:v>GW20</c:v>
                </c:pt>
                <c:pt idx="20">
                  <c:v>GW21</c:v>
                </c:pt>
                <c:pt idx="21">
                  <c:v>GW22</c:v>
                </c:pt>
                <c:pt idx="22">
                  <c:v>GW23</c:v>
                </c:pt>
                <c:pt idx="23">
                  <c:v>GW24</c:v>
                </c:pt>
                <c:pt idx="24">
                  <c:v>GW25</c:v>
                </c:pt>
                <c:pt idx="25">
                  <c:v>GW26</c:v>
                </c:pt>
                <c:pt idx="26">
                  <c:v>GW27</c:v>
                </c:pt>
                <c:pt idx="27">
                  <c:v>GW28</c:v>
                </c:pt>
                <c:pt idx="28">
                  <c:v>GW29</c:v>
                </c:pt>
                <c:pt idx="29">
                  <c:v>GW30</c:v>
                </c:pt>
                <c:pt idx="30">
                  <c:v>GW31</c:v>
                </c:pt>
                <c:pt idx="31">
                  <c:v>GW32</c:v>
                </c:pt>
                <c:pt idx="32">
                  <c:v>GW33</c:v>
                </c:pt>
                <c:pt idx="33">
                  <c:v>GW34</c:v>
                </c:pt>
              </c:strCache>
            </c:strRef>
          </c:cat>
          <c:val>
            <c:numRef>
              <c:extLst>
                <c:ext xmlns:c15="http://schemas.microsoft.com/office/drawing/2012/chart" uri="{02D57815-91ED-43cb-92C2-25804820EDAC}">
                  <c15:fullRef>
                    <c15:sqref>Stats!$E$11:$AP$11</c15:sqref>
                  </c15:fullRef>
                </c:ext>
              </c:extLst>
              <c:f>Stats!$E$11:$AL$11</c:f>
              <c:numCache>
                <c:formatCode>_-* #\ ##0_-;\-* #\ ##0_-;_-* "-"??_-;_-@_-</c:formatCode>
                <c:ptCount val="34"/>
                <c:pt idx="0">
                  <c:v>43</c:v>
                </c:pt>
                <c:pt idx="1">
                  <c:v>39</c:v>
                </c:pt>
                <c:pt idx="2">
                  <c:v>70</c:v>
                </c:pt>
                <c:pt idx="3">
                  <c:v>71</c:v>
                </c:pt>
                <c:pt idx="4">
                  <c:v>54</c:v>
                </c:pt>
                <c:pt idx="5">
                  <c:v>45</c:v>
                </c:pt>
                <c:pt idx="6">
                  <c:v>55</c:v>
                </c:pt>
                <c:pt idx="7">
                  <c:v>60</c:v>
                </c:pt>
                <c:pt idx="8">
                  <c:v>45</c:v>
                </c:pt>
                <c:pt idx="9">
                  <c:v>84</c:v>
                </c:pt>
                <c:pt idx="10">
                  <c:v>34</c:v>
                </c:pt>
                <c:pt idx="11">
                  <c:v>39</c:v>
                </c:pt>
                <c:pt idx="12">
                  <c:v>48</c:v>
                </c:pt>
                <c:pt idx="13">
                  <c:v>80</c:v>
                </c:pt>
                <c:pt idx="14">
                  <c:v>71</c:v>
                </c:pt>
                <c:pt idx="15">
                  <c:v>92</c:v>
                </c:pt>
                <c:pt idx="16">
                  <c:v>100</c:v>
                </c:pt>
                <c:pt idx="17">
                  <c:v>43</c:v>
                </c:pt>
                <c:pt idx="18">
                  <c:v>38</c:v>
                </c:pt>
                <c:pt idx="19">
                  <c:v>44</c:v>
                </c:pt>
                <c:pt idx="20">
                  <c:v>48</c:v>
                </c:pt>
                <c:pt idx="21">
                  <c:v>51</c:v>
                </c:pt>
                <c:pt idx="22">
                  <c:v>29</c:v>
                </c:pt>
                <c:pt idx="23">
                  <c:v>64</c:v>
                </c:pt>
                <c:pt idx="24">
                  <c:v>63</c:v>
                </c:pt>
                <c:pt idx="25">
                  <c:v>53</c:v>
                </c:pt>
                <c:pt idx="26">
                  <c:v>30</c:v>
                </c:pt>
                <c:pt idx="27">
                  <c:v>66</c:v>
                </c:pt>
                <c:pt idx="28">
                  <c:v>68</c:v>
                </c:pt>
                <c:pt idx="29">
                  <c:v>49</c:v>
                </c:pt>
                <c:pt idx="30">
                  <c:v>63</c:v>
                </c:pt>
                <c:pt idx="31">
                  <c:v>41</c:v>
                </c:pt>
                <c:pt idx="32">
                  <c:v>87</c:v>
                </c:pt>
                <c:pt idx="33">
                  <c:v>41</c:v>
                </c:pt>
              </c:numCache>
            </c:numRef>
          </c:val>
          <c:smooth val="0"/>
          <c:extLst>
            <c:ext xmlns:c16="http://schemas.microsoft.com/office/drawing/2014/chart" uri="{C3380CC4-5D6E-409C-BE32-E72D297353CC}">
              <c16:uniqueId val="{00000002-4B15-424B-809B-F128746D1764}"/>
            </c:ext>
          </c:extLst>
        </c:ser>
        <c:ser>
          <c:idx val="3"/>
          <c:order val="3"/>
          <c:tx>
            <c:strRef>
              <c:f>Stats!$D$12</c:f>
              <c:strCache>
                <c:ptCount val="1"/>
                <c:pt idx="0">
                  <c:v>Hidden Hills</c:v>
                </c:pt>
              </c:strCache>
            </c:strRef>
          </c:tx>
          <c:spPr>
            <a:ln w="28575" cap="rnd">
              <a:solidFill>
                <a:schemeClr val="accent4"/>
              </a:solidFill>
              <a:round/>
            </a:ln>
            <a:effectLst/>
          </c:spPr>
          <c:marker>
            <c:symbol val="none"/>
          </c:marker>
          <c:cat>
            <c:strRef>
              <c:extLst>
                <c:ext xmlns:c15="http://schemas.microsoft.com/office/drawing/2012/chart" uri="{02D57815-91ED-43cb-92C2-25804820EDAC}">
                  <c15:fullRef>
                    <c15:sqref>Stats!$E$8:$AP$8</c15:sqref>
                  </c15:fullRef>
                </c:ext>
              </c:extLst>
              <c:f>Stats!$E$8:$AL$8</c:f>
              <c:strCache>
                <c:ptCount val="34"/>
                <c:pt idx="0">
                  <c:v>GW1</c:v>
                </c:pt>
                <c:pt idx="1">
                  <c:v>GW2</c:v>
                </c:pt>
                <c:pt idx="2">
                  <c:v>GW3</c:v>
                </c:pt>
                <c:pt idx="3">
                  <c:v>GW4</c:v>
                </c:pt>
                <c:pt idx="4">
                  <c:v>GW5</c:v>
                </c:pt>
                <c:pt idx="5">
                  <c:v>GW6</c:v>
                </c:pt>
                <c:pt idx="6">
                  <c:v>GW7</c:v>
                </c:pt>
                <c:pt idx="7">
                  <c:v>GW8</c:v>
                </c:pt>
                <c:pt idx="8">
                  <c:v>GW9</c:v>
                </c:pt>
                <c:pt idx="9">
                  <c:v>GW10</c:v>
                </c:pt>
                <c:pt idx="10">
                  <c:v>GW11</c:v>
                </c:pt>
                <c:pt idx="11">
                  <c:v>GW12</c:v>
                </c:pt>
                <c:pt idx="12">
                  <c:v>GW13</c:v>
                </c:pt>
                <c:pt idx="13">
                  <c:v>GW14</c:v>
                </c:pt>
                <c:pt idx="14">
                  <c:v>GW15</c:v>
                </c:pt>
                <c:pt idx="15">
                  <c:v>GW16</c:v>
                </c:pt>
                <c:pt idx="16">
                  <c:v>GW17</c:v>
                </c:pt>
                <c:pt idx="17">
                  <c:v>GW18</c:v>
                </c:pt>
                <c:pt idx="18">
                  <c:v>GW19</c:v>
                </c:pt>
                <c:pt idx="19">
                  <c:v>GW20</c:v>
                </c:pt>
                <c:pt idx="20">
                  <c:v>GW21</c:v>
                </c:pt>
                <c:pt idx="21">
                  <c:v>GW22</c:v>
                </c:pt>
                <c:pt idx="22">
                  <c:v>GW23</c:v>
                </c:pt>
                <c:pt idx="23">
                  <c:v>GW24</c:v>
                </c:pt>
                <c:pt idx="24">
                  <c:v>GW25</c:v>
                </c:pt>
                <c:pt idx="25">
                  <c:v>GW26</c:v>
                </c:pt>
                <c:pt idx="26">
                  <c:v>GW27</c:v>
                </c:pt>
                <c:pt idx="27">
                  <c:v>GW28</c:v>
                </c:pt>
                <c:pt idx="28">
                  <c:v>GW29</c:v>
                </c:pt>
                <c:pt idx="29">
                  <c:v>GW30</c:v>
                </c:pt>
                <c:pt idx="30">
                  <c:v>GW31</c:v>
                </c:pt>
                <c:pt idx="31">
                  <c:v>GW32</c:v>
                </c:pt>
                <c:pt idx="32">
                  <c:v>GW33</c:v>
                </c:pt>
                <c:pt idx="33">
                  <c:v>GW34</c:v>
                </c:pt>
              </c:strCache>
            </c:strRef>
          </c:cat>
          <c:val>
            <c:numRef>
              <c:extLst>
                <c:ext xmlns:c15="http://schemas.microsoft.com/office/drawing/2012/chart" uri="{02D57815-91ED-43cb-92C2-25804820EDAC}">
                  <c15:fullRef>
                    <c15:sqref>Stats!$E$12:$AP$12</c15:sqref>
                  </c15:fullRef>
                </c:ext>
              </c:extLst>
              <c:f>Stats!$E$12:$AL$12</c:f>
              <c:numCache>
                <c:formatCode>_-* #\ ##0_-;\-* #\ ##0_-;_-* "-"??_-;_-@_-</c:formatCode>
                <c:ptCount val="34"/>
                <c:pt idx="0">
                  <c:v>62</c:v>
                </c:pt>
                <c:pt idx="1">
                  <c:v>37</c:v>
                </c:pt>
                <c:pt idx="2">
                  <c:v>56</c:v>
                </c:pt>
                <c:pt idx="3">
                  <c:v>69</c:v>
                </c:pt>
                <c:pt idx="4">
                  <c:v>76</c:v>
                </c:pt>
                <c:pt idx="5">
                  <c:v>78</c:v>
                </c:pt>
                <c:pt idx="6">
                  <c:v>79</c:v>
                </c:pt>
                <c:pt idx="7">
                  <c:v>57</c:v>
                </c:pt>
                <c:pt idx="8">
                  <c:v>42</c:v>
                </c:pt>
                <c:pt idx="9">
                  <c:v>71</c:v>
                </c:pt>
                <c:pt idx="10">
                  <c:v>36</c:v>
                </c:pt>
                <c:pt idx="11">
                  <c:v>38</c:v>
                </c:pt>
                <c:pt idx="12">
                  <c:v>50</c:v>
                </c:pt>
                <c:pt idx="13">
                  <c:v>56</c:v>
                </c:pt>
                <c:pt idx="14">
                  <c:v>60</c:v>
                </c:pt>
                <c:pt idx="15">
                  <c:v>64</c:v>
                </c:pt>
                <c:pt idx="16">
                  <c:v>79</c:v>
                </c:pt>
                <c:pt idx="17">
                  <c:v>39</c:v>
                </c:pt>
                <c:pt idx="18">
                  <c:v>37</c:v>
                </c:pt>
                <c:pt idx="19">
                  <c:v>44</c:v>
                </c:pt>
                <c:pt idx="20">
                  <c:v>53</c:v>
                </c:pt>
                <c:pt idx="21">
                  <c:v>31</c:v>
                </c:pt>
                <c:pt idx="22">
                  <c:v>49</c:v>
                </c:pt>
                <c:pt idx="23">
                  <c:v>53</c:v>
                </c:pt>
                <c:pt idx="24">
                  <c:v>74</c:v>
                </c:pt>
                <c:pt idx="25">
                  <c:v>67</c:v>
                </c:pt>
                <c:pt idx="26">
                  <c:v>52</c:v>
                </c:pt>
                <c:pt idx="27">
                  <c:v>66</c:v>
                </c:pt>
                <c:pt idx="28">
                  <c:v>79</c:v>
                </c:pt>
                <c:pt idx="29">
                  <c:v>47</c:v>
                </c:pt>
                <c:pt idx="30">
                  <c:v>48</c:v>
                </c:pt>
                <c:pt idx="31">
                  <c:v>66</c:v>
                </c:pt>
                <c:pt idx="32">
                  <c:v>115</c:v>
                </c:pt>
                <c:pt idx="33">
                  <c:v>65</c:v>
                </c:pt>
              </c:numCache>
            </c:numRef>
          </c:val>
          <c:smooth val="0"/>
          <c:extLst>
            <c:ext xmlns:c16="http://schemas.microsoft.com/office/drawing/2014/chart" uri="{C3380CC4-5D6E-409C-BE32-E72D297353CC}">
              <c16:uniqueId val="{00000003-4B15-424B-809B-F128746D1764}"/>
            </c:ext>
          </c:extLst>
        </c:ser>
        <c:ser>
          <c:idx val="4"/>
          <c:order val="4"/>
          <c:tx>
            <c:strRef>
              <c:f>Stats!$D$13</c:f>
              <c:strCache>
                <c:ptCount val="1"/>
                <c:pt idx="0">
                  <c:v>Hot Slot FC</c:v>
                </c:pt>
              </c:strCache>
            </c:strRef>
          </c:tx>
          <c:spPr>
            <a:ln w="28575" cap="rnd">
              <a:solidFill>
                <a:schemeClr val="accent5"/>
              </a:solidFill>
              <a:round/>
            </a:ln>
            <a:effectLst/>
          </c:spPr>
          <c:marker>
            <c:symbol val="none"/>
          </c:marker>
          <c:cat>
            <c:strRef>
              <c:extLst>
                <c:ext xmlns:c15="http://schemas.microsoft.com/office/drawing/2012/chart" uri="{02D57815-91ED-43cb-92C2-25804820EDAC}">
                  <c15:fullRef>
                    <c15:sqref>Stats!$E$8:$AP$8</c15:sqref>
                  </c15:fullRef>
                </c:ext>
              </c:extLst>
              <c:f>Stats!$E$8:$AL$8</c:f>
              <c:strCache>
                <c:ptCount val="34"/>
                <c:pt idx="0">
                  <c:v>GW1</c:v>
                </c:pt>
                <c:pt idx="1">
                  <c:v>GW2</c:v>
                </c:pt>
                <c:pt idx="2">
                  <c:v>GW3</c:v>
                </c:pt>
                <c:pt idx="3">
                  <c:v>GW4</c:v>
                </c:pt>
                <c:pt idx="4">
                  <c:v>GW5</c:v>
                </c:pt>
                <c:pt idx="5">
                  <c:v>GW6</c:v>
                </c:pt>
                <c:pt idx="6">
                  <c:v>GW7</c:v>
                </c:pt>
                <c:pt idx="7">
                  <c:v>GW8</c:v>
                </c:pt>
                <c:pt idx="8">
                  <c:v>GW9</c:v>
                </c:pt>
                <c:pt idx="9">
                  <c:v>GW10</c:v>
                </c:pt>
                <c:pt idx="10">
                  <c:v>GW11</c:v>
                </c:pt>
                <c:pt idx="11">
                  <c:v>GW12</c:v>
                </c:pt>
                <c:pt idx="12">
                  <c:v>GW13</c:v>
                </c:pt>
                <c:pt idx="13">
                  <c:v>GW14</c:v>
                </c:pt>
                <c:pt idx="14">
                  <c:v>GW15</c:v>
                </c:pt>
                <c:pt idx="15">
                  <c:v>GW16</c:v>
                </c:pt>
                <c:pt idx="16">
                  <c:v>GW17</c:v>
                </c:pt>
                <c:pt idx="17">
                  <c:v>GW18</c:v>
                </c:pt>
                <c:pt idx="18">
                  <c:v>GW19</c:v>
                </c:pt>
                <c:pt idx="19">
                  <c:v>GW20</c:v>
                </c:pt>
                <c:pt idx="20">
                  <c:v>GW21</c:v>
                </c:pt>
                <c:pt idx="21">
                  <c:v>GW22</c:v>
                </c:pt>
                <c:pt idx="22">
                  <c:v>GW23</c:v>
                </c:pt>
                <c:pt idx="23">
                  <c:v>GW24</c:v>
                </c:pt>
                <c:pt idx="24">
                  <c:v>GW25</c:v>
                </c:pt>
                <c:pt idx="25">
                  <c:v>GW26</c:v>
                </c:pt>
                <c:pt idx="26">
                  <c:v>GW27</c:v>
                </c:pt>
                <c:pt idx="27">
                  <c:v>GW28</c:v>
                </c:pt>
                <c:pt idx="28">
                  <c:v>GW29</c:v>
                </c:pt>
                <c:pt idx="29">
                  <c:v>GW30</c:v>
                </c:pt>
                <c:pt idx="30">
                  <c:v>GW31</c:v>
                </c:pt>
                <c:pt idx="31">
                  <c:v>GW32</c:v>
                </c:pt>
                <c:pt idx="32">
                  <c:v>GW33</c:v>
                </c:pt>
                <c:pt idx="33">
                  <c:v>GW34</c:v>
                </c:pt>
              </c:strCache>
            </c:strRef>
          </c:cat>
          <c:val>
            <c:numRef>
              <c:extLst>
                <c:ext xmlns:c15="http://schemas.microsoft.com/office/drawing/2012/chart" uri="{02D57815-91ED-43cb-92C2-25804820EDAC}">
                  <c15:fullRef>
                    <c15:sqref>Stats!$E$13:$AP$13</c15:sqref>
                  </c15:fullRef>
                </c:ext>
              </c:extLst>
              <c:f>Stats!$E$13:$AL$13</c:f>
              <c:numCache>
                <c:formatCode>_-* #\ ##0_-;\-* #\ ##0_-;_-* "-"??_-;_-@_-</c:formatCode>
                <c:ptCount val="34"/>
                <c:pt idx="0">
                  <c:v>43</c:v>
                </c:pt>
                <c:pt idx="1">
                  <c:v>42</c:v>
                </c:pt>
                <c:pt idx="2">
                  <c:v>34</c:v>
                </c:pt>
                <c:pt idx="3">
                  <c:v>73</c:v>
                </c:pt>
                <c:pt idx="4">
                  <c:v>52</c:v>
                </c:pt>
                <c:pt idx="5">
                  <c:v>21</c:v>
                </c:pt>
                <c:pt idx="6">
                  <c:v>86</c:v>
                </c:pt>
                <c:pt idx="7">
                  <c:v>57</c:v>
                </c:pt>
                <c:pt idx="8">
                  <c:v>34</c:v>
                </c:pt>
                <c:pt idx="9">
                  <c:v>65</c:v>
                </c:pt>
                <c:pt idx="10">
                  <c:v>43</c:v>
                </c:pt>
                <c:pt idx="11">
                  <c:v>28</c:v>
                </c:pt>
                <c:pt idx="12">
                  <c:v>27</c:v>
                </c:pt>
                <c:pt idx="13">
                  <c:v>53</c:v>
                </c:pt>
                <c:pt idx="14">
                  <c:v>47</c:v>
                </c:pt>
                <c:pt idx="15">
                  <c:v>63</c:v>
                </c:pt>
                <c:pt idx="16">
                  <c:v>78</c:v>
                </c:pt>
                <c:pt idx="17">
                  <c:v>43</c:v>
                </c:pt>
                <c:pt idx="18">
                  <c:v>33</c:v>
                </c:pt>
                <c:pt idx="19">
                  <c:v>53</c:v>
                </c:pt>
                <c:pt idx="20">
                  <c:v>71</c:v>
                </c:pt>
                <c:pt idx="21">
                  <c:v>35</c:v>
                </c:pt>
                <c:pt idx="22">
                  <c:v>56</c:v>
                </c:pt>
                <c:pt idx="23">
                  <c:v>52</c:v>
                </c:pt>
                <c:pt idx="24">
                  <c:v>49</c:v>
                </c:pt>
                <c:pt idx="25">
                  <c:v>55</c:v>
                </c:pt>
                <c:pt idx="26">
                  <c:v>54</c:v>
                </c:pt>
                <c:pt idx="27">
                  <c:v>59</c:v>
                </c:pt>
                <c:pt idx="28">
                  <c:v>51</c:v>
                </c:pt>
                <c:pt idx="29">
                  <c:v>39</c:v>
                </c:pt>
                <c:pt idx="30">
                  <c:v>51</c:v>
                </c:pt>
                <c:pt idx="31">
                  <c:v>42</c:v>
                </c:pt>
                <c:pt idx="32">
                  <c:v>83</c:v>
                </c:pt>
                <c:pt idx="33">
                  <c:v>45</c:v>
                </c:pt>
              </c:numCache>
            </c:numRef>
          </c:val>
          <c:smooth val="0"/>
          <c:extLst>
            <c:ext xmlns:c16="http://schemas.microsoft.com/office/drawing/2014/chart" uri="{C3380CC4-5D6E-409C-BE32-E72D297353CC}">
              <c16:uniqueId val="{00000004-4B15-424B-809B-F128746D1764}"/>
            </c:ext>
          </c:extLst>
        </c:ser>
        <c:ser>
          <c:idx val="5"/>
          <c:order val="5"/>
          <c:tx>
            <c:strRef>
              <c:f>Stats!$D$14</c:f>
              <c:strCache>
                <c:ptCount val="1"/>
                <c:pt idx="0">
                  <c:v>Iam_ntombela</c:v>
                </c:pt>
              </c:strCache>
            </c:strRef>
          </c:tx>
          <c:spPr>
            <a:ln w="28575" cap="rnd">
              <a:solidFill>
                <a:schemeClr val="accent6"/>
              </a:solidFill>
              <a:round/>
            </a:ln>
            <a:effectLst/>
          </c:spPr>
          <c:marker>
            <c:symbol val="none"/>
          </c:marker>
          <c:cat>
            <c:strRef>
              <c:extLst>
                <c:ext xmlns:c15="http://schemas.microsoft.com/office/drawing/2012/chart" uri="{02D57815-91ED-43cb-92C2-25804820EDAC}">
                  <c15:fullRef>
                    <c15:sqref>Stats!$E$8:$AP$8</c15:sqref>
                  </c15:fullRef>
                </c:ext>
              </c:extLst>
              <c:f>Stats!$E$8:$AL$8</c:f>
              <c:strCache>
                <c:ptCount val="34"/>
                <c:pt idx="0">
                  <c:v>GW1</c:v>
                </c:pt>
                <c:pt idx="1">
                  <c:v>GW2</c:v>
                </c:pt>
                <c:pt idx="2">
                  <c:v>GW3</c:v>
                </c:pt>
                <c:pt idx="3">
                  <c:v>GW4</c:v>
                </c:pt>
                <c:pt idx="4">
                  <c:v>GW5</c:v>
                </c:pt>
                <c:pt idx="5">
                  <c:v>GW6</c:v>
                </c:pt>
                <c:pt idx="6">
                  <c:v>GW7</c:v>
                </c:pt>
                <c:pt idx="7">
                  <c:v>GW8</c:v>
                </c:pt>
                <c:pt idx="8">
                  <c:v>GW9</c:v>
                </c:pt>
                <c:pt idx="9">
                  <c:v>GW10</c:v>
                </c:pt>
                <c:pt idx="10">
                  <c:v>GW11</c:v>
                </c:pt>
                <c:pt idx="11">
                  <c:v>GW12</c:v>
                </c:pt>
                <c:pt idx="12">
                  <c:v>GW13</c:v>
                </c:pt>
                <c:pt idx="13">
                  <c:v>GW14</c:v>
                </c:pt>
                <c:pt idx="14">
                  <c:v>GW15</c:v>
                </c:pt>
                <c:pt idx="15">
                  <c:v>GW16</c:v>
                </c:pt>
                <c:pt idx="16">
                  <c:v>GW17</c:v>
                </c:pt>
                <c:pt idx="17">
                  <c:v>GW18</c:v>
                </c:pt>
                <c:pt idx="18">
                  <c:v>GW19</c:v>
                </c:pt>
                <c:pt idx="19">
                  <c:v>GW20</c:v>
                </c:pt>
                <c:pt idx="20">
                  <c:v>GW21</c:v>
                </c:pt>
                <c:pt idx="21">
                  <c:v>GW22</c:v>
                </c:pt>
                <c:pt idx="22">
                  <c:v>GW23</c:v>
                </c:pt>
                <c:pt idx="23">
                  <c:v>GW24</c:v>
                </c:pt>
                <c:pt idx="24">
                  <c:v>GW25</c:v>
                </c:pt>
                <c:pt idx="25">
                  <c:v>GW26</c:v>
                </c:pt>
                <c:pt idx="26">
                  <c:v>GW27</c:v>
                </c:pt>
                <c:pt idx="27">
                  <c:v>GW28</c:v>
                </c:pt>
                <c:pt idx="28">
                  <c:v>GW29</c:v>
                </c:pt>
                <c:pt idx="29">
                  <c:v>GW30</c:v>
                </c:pt>
                <c:pt idx="30">
                  <c:v>GW31</c:v>
                </c:pt>
                <c:pt idx="31">
                  <c:v>GW32</c:v>
                </c:pt>
                <c:pt idx="32">
                  <c:v>GW33</c:v>
                </c:pt>
                <c:pt idx="33">
                  <c:v>GW34</c:v>
                </c:pt>
              </c:strCache>
            </c:strRef>
          </c:cat>
          <c:val>
            <c:numRef>
              <c:extLst>
                <c:ext xmlns:c15="http://schemas.microsoft.com/office/drawing/2012/chart" uri="{02D57815-91ED-43cb-92C2-25804820EDAC}">
                  <c15:fullRef>
                    <c15:sqref>Stats!$E$14:$AP$14</c15:sqref>
                  </c15:fullRef>
                </c:ext>
              </c:extLst>
              <c:f>Stats!$E$14:$AL$14</c:f>
              <c:numCache>
                <c:formatCode>_-* #\ ##0_-;\-* #\ ##0_-;_-* "-"??_-;_-@_-</c:formatCode>
                <c:ptCount val="34"/>
                <c:pt idx="0">
                  <c:v>55</c:v>
                </c:pt>
                <c:pt idx="1">
                  <c:v>53</c:v>
                </c:pt>
                <c:pt idx="2">
                  <c:v>44</c:v>
                </c:pt>
                <c:pt idx="3">
                  <c:v>59</c:v>
                </c:pt>
                <c:pt idx="4">
                  <c:v>41</c:v>
                </c:pt>
                <c:pt idx="5">
                  <c:v>70</c:v>
                </c:pt>
                <c:pt idx="6">
                  <c:v>87</c:v>
                </c:pt>
                <c:pt idx="7">
                  <c:v>91</c:v>
                </c:pt>
                <c:pt idx="8">
                  <c:v>43</c:v>
                </c:pt>
                <c:pt idx="9">
                  <c:v>78</c:v>
                </c:pt>
                <c:pt idx="10">
                  <c:v>38</c:v>
                </c:pt>
                <c:pt idx="11">
                  <c:v>34</c:v>
                </c:pt>
                <c:pt idx="12">
                  <c:v>60</c:v>
                </c:pt>
                <c:pt idx="13">
                  <c:v>75</c:v>
                </c:pt>
                <c:pt idx="14">
                  <c:v>52</c:v>
                </c:pt>
                <c:pt idx="15">
                  <c:v>73</c:v>
                </c:pt>
                <c:pt idx="16">
                  <c:v>65</c:v>
                </c:pt>
                <c:pt idx="17">
                  <c:v>36</c:v>
                </c:pt>
                <c:pt idx="18">
                  <c:v>40</c:v>
                </c:pt>
                <c:pt idx="19">
                  <c:v>56</c:v>
                </c:pt>
                <c:pt idx="20">
                  <c:v>51</c:v>
                </c:pt>
                <c:pt idx="21">
                  <c:v>40</c:v>
                </c:pt>
                <c:pt idx="22">
                  <c:v>22</c:v>
                </c:pt>
                <c:pt idx="23">
                  <c:v>75</c:v>
                </c:pt>
                <c:pt idx="24">
                  <c:v>69</c:v>
                </c:pt>
                <c:pt idx="25">
                  <c:v>71</c:v>
                </c:pt>
                <c:pt idx="26">
                  <c:v>40</c:v>
                </c:pt>
                <c:pt idx="27">
                  <c:v>79</c:v>
                </c:pt>
                <c:pt idx="28">
                  <c:v>63</c:v>
                </c:pt>
                <c:pt idx="29">
                  <c:v>48</c:v>
                </c:pt>
                <c:pt idx="30">
                  <c:v>55</c:v>
                </c:pt>
                <c:pt idx="31">
                  <c:v>65</c:v>
                </c:pt>
                <c:pt idx="32">
                  <c:v>121</c:v>
                </c:pt>
                <c:pt idx="33">
                  <c:v>56</c:v>
                </c:pt>
              </c:numCache>
            </c:numRef>
          </c:val>
          <c:smooth val="0"/>
          <c:extLst>
            <c:ext xmlns:c16="http://schemas.microsoft.com/office/drawing/2014/chart" uri="{C3380CC4-5D6E-409C-BE32-E72D297353CC}">
              <c16:uniqueId val="{00000005-4B15-424B-809B-F128746D1764}"/>
            </c:ext>
          </c:extLst>
        </c:ser>
        <c:ser>
          <c:idx val="6"/>
          <c:order val="6"/>
          <c:tx>
            <c:strRef>
              <c:f>Stats!$D$15</c:f>
              <c:strCache>
                <c:ptCount val="1"/>
                <c:pt idx="0">
                  <c:v>Joao Island</c:v>
                </c:pt>
              </c:strCache>
            </c:strRef>
          </c:tx>
          <c:spPr>
            <a:ln w="28575" cap="rnd">
              <a:solidFill>
                <a:schemeClr val="accent1">
                  <a:lumMod val="60000"/>
                </a:schemeClr>
              </a:solidFill>
              <a:round/>
            </a:ln>
            <a:effectLst/>
          </c:spPr>
          <c:marker>
            <c:symbol val="none"/>
          </c:marker>
          <c:cat>
            <c:strRef>
              <c:extLst>
                <c:ext xmlns:c15="http://schemas.microsoft.com/office/drawing/2012/chart" uri="{02D57815-91ED-43cb-92C2-25804820EDAC}">
                  <c15:fullRef>
                    <c15:sqref>Stats!$E$8:$AP$8</c15:sqref>
                  </c15:fullRef>
                </c:ext>
              </c:extLst>
              <c:f>Stats!$E$8:$AL$8</c:f>
              <c:strCache>
                <c:ptCount val="34"/>
                <c:pt idx="0">
                  <c:v>GW1</c:v>
                </c:pt>
                <c:pt idx="1">
                  <c:v>GW2</c:v>
                </c:pt>
                <c:pt idx="2">
                  <c:v>GW3</c:v>
                </c:pt>
                <c:pt idx="3">
                  <c:v>GW4</c:v>
                </c:pt>
                <c:pt idx="4">
                  <c:v>GW5</c:v>
                </c:pt>
                <c:pt idx="5">
                  <c:v>GW6</c:v>
                </c:pt>
                <c:pt idx="6">
                  <c:v>GW7</c:v>
                </c:pt>
                <c:pt idx="7">
                  <c:v>GW8</c:v>
                </c:pt>
                <c:pt idx="8">
                  <c:v>GW9</c:v>
                </c:pt>
                <c:pt idx="9">
                  <c:v>GW10</c:v>
                </c:pt>
                <c:pt idx="10">
                  <c:v>GW11</c:v>
                </c:pt>
                <c:pt idx="11">
                  <c:v>GW12</c:v>
                </c:pt>
                <c:pt idx="12">
                  <c:v>GW13</c:v>
                </c:pt>
                <c:pt idx="13">
                  <c:v>GW14</c:v>
                </c:pt>
                <c:pt idx="14">
                  <c:v>GW15</c:v>
                </c:pt>
                <c:pt idx="15">
                  <c:v>GW16</c:v>
                </c:pt>
                <c:pt idx="16">
                  <c:v>GW17</c:v>
                </c:pt>
                <c:pt idx="17">
                  <c:v>GW18</c:v>
                </c:pt>
                <c:pt idx="18">
                  <c:v>GW19</c:v>
                </c:pt>
                <c:pt idx="19">
                  <c:v>GW20</c:v>
                </c:pt>
                <c:pt idx="20">
                  <c:v>GW21</c:v>
                </c:pt>
                <c:pt idx="21">
                  <c:v>GW22</c:v>
                </c:pt>
                <c:pt idx="22">
                  <c:v>GW23</c:v>
                </c:pt>
                <c:pt idx="23">
                  <c:v>GW24</c:v>
                </c:pt>
                <c:pt idx="24">
                  <c:v>GW25</c:v>
                </c:pt>
                <c:pt idx="25">
                  <c:v>GW26</c:v>
                </c:pt>
                <c:pt idx="26">
                  <c:v>GW27</c:v>
                </c:pt>
                <c:pt idx="27">
                  <c:v>GW28</c:v>
                </c:pt>
                <c:pt idx="28">
                  <c:v>GW29</c:v>
                </c:pt>
                <c:pt idx="29">
                  <c:v>GW30</c:v>
                </c:pt>
                <c:pt idx="30">
                  <c:v>GW31</c:v>
                </c:pt>
                <c:pt idx="31">
                  <c:v>GW32</c:v>
                </c:pt>
                <c:pt idx="32">
                  <c:v>GW33</c:v>
                </c:pt>
                <c:pt idx="33">
                  <c:v>GW34</c:v>
                </c:pt>
              </c:strCache>
            </c:strRef>
          </c:cat>
          <c:val>
            <c:numRef>
              <c:extLst>
                <c:ext xmlns:c15="http://schemas.microsoft.com/office/drawing/2012/chart" uri="{02D57815-91ED-43cb-92C2-25804820EDAC}">
                  <c15:fullRef>
                    <c15:sqref>Stats!$E$15:$AP$15</c15:sqref>
                  </c15:fullRef>
                </c:ext>
              </c:extLst>
              <c:f>Stats!$E$15:$AL$15</c:f>
              <c:numCache>
                <c:formatCode>_-* #\ ##0_-;\-* #\ ##0_-;_-* "-"??_-;_-@_-</c:formatCode>
                <c:ptCount val="34"/>
                <c:pt idx="0">
                  <c:v>58</c:v>
                </c:pt>
                <c:pt idx="1">
                  <c:v>45</c:v>
                </c:pt>
                <c:pt idx="2">
                  <c:v>41</c:v>
                </c:pt>
                <c:pt idx="3">
                  <c:v>66</c:v>
                </c:pt>
                <c:pt idx="4">
                  <c:v>50</c:v>
                </c:pt>
                <c:pt idx="5">
                  <c:v>38</c:v>
                </c:pt>
                <c:pt idx="6">
                  <c:v>46</c:v>
                </c:pt>
                <c:pt idx="7">
                  <c:v>46</c:v>
                </c:pt>
                <c:pt idx="8">
                  <c:v>52</c:v>
                </c:pt>
                <c:pt idx="9">
                  <c:v>64</c:v>
                </c:pt>
                <c:pt idx="10">
                  <c:v>38</c:v>
                </c:pt>
                <c:pt idx="11">
                  <c:v>24</c:v>
                </c:pt>
                <c:pt idx="12">
                  <c:v>34</c:v>
                </c:pt>
                <c:pt idx="13">
                  <c:v>74</c:v>
                </c:pt>
                <c:pt idx="14">
                  <c:v>67</c:v>
                </c:pt>
                <c:pt idx="15">
                  <c:v>85</c:v>
                </c:pt>
                <c:pt idx="16">
                  <c:v>80</c:v>
                </c:pt>
                <c:pt idx="17">
                  <c:v>34</c:v>
                </c:pt>
                <c:pt idx="18">
                  <c:v>31</c:v>
                </c:pt>
                <c:pt idx="19">
                  <c:v>41</c:v>
                </c:pt>
                <c:pt idx="20">
                  <c:v>59</c:v>
                </c:pt>
                <c:pt idx="21">
                  <c:v>38</c:v>
                </c:pt>
                <c:pt idx="22">
                  <c:v>48</c:v>
                </c:pt>
                <c:pt idx="23">
                  <c:v>44</c:v>
                </c:pt>
                <c:pt idx="24">
                  <c:v>68</c:v>
                </c:pt>
                <c:pt idx="25">
                  <c:v>55</c:v>
                </c:pt>
                <c:pt idx="26">
                  <c:v>44</c:v>
                </c:pt>
                <c:pt idx="27">
                  <c:v>79</c:v>
                </c:pt>
                <c:pt idx="28">
                  <c:v>82</c:v>
                </c:pt>
                <c:pt idx="29">
                  <c:v>55</c:v>
                </c:pt>
                <c:pt idx="30">
                  <c:v>59</c:v>
                </c:pt>
                <c:pt idx="31">
                  <c:v>52</c:v>
                </c:pt>
                <c:pt idx="32">
                  <c:v>82</c:v>
                </c:pt>
                <c:pt idx="33">
                  <c:v>46</c:v>
                </c:pt>
              </c:numCache>
            </c:numRef>
          </c:val>
          <c:smooth val="0"/>
          <c:extLst>
            <c:ext xmlns:c16="http://schemas.microsoft.com/office/drawing/2014/chart" uri="{C3380CC4-5D6E-409C-BE32-E72D297353CC}">
              <c16:uniqueId val="{00000006-4B15-424B-809B-F128746D1764}"/>
            </c:ext>
          </c:extLst>
        </c:ser>
        <c:ser>
          <c:idx val="7"/>
          <c:order val="7"/>
          <c:tx>
            <c:strRef>
              <c:f>Stats!$D$16</c:f>
              <c:strCache>
                <c:ptCount val="1"/>
                <c:pt idx="0">
                  <c:v>JustGimmeDeLigt</c:v>
                </c:pt>
              </c:strCache>
            </c:strRef>
          </c:tx>
          <c:spPr>
            <a:ln w="28575" cap="rnd">
              <a:solidFill>
                <a:schemeClr val="accent2">
                  <a:lumMod val="60000"/>
                </a:schemeClr>
              </a:solidFill>
              <a:round/>
            </a:ln>
            <a:effectLst/>
          </c:spPr>
          <c:marker>
            <c:symbol val="none"/>
          </c:marker>
          <c:cat>
            <c:strRef>
              <c:extLst>
                <c:ext xmlns:c15="http://schemas.microsoft.com/office/drawing/2012/chart" uri="{02D57815-91ED-43cb-92C2-25804820EDAC}">
                  <c15:fullRef>
                    <c15:sqref>Stats!$E$8:$AP$8</c15:sqref>
                  </c15:fullRef>
                </c:ext>
              </c:extLst>
              <c:f>Stats!$E$8:$AL$8</c:f>
              <c:strCache>
                <c:ptCount val="34"/>
                <c:pt idx="0">
                  <c:v>GW1</c:v>
                </c:pt>
                <c:pt idx="1">
                  <c:v>GW2</c:v>
                </c:pt>
                <c:pt idx="2">
                  <c:v>GW3</c:v>
                </c:pt>
                <c:pt idx="3">
                  <c:v>GW4</c:v>
                </c:pt>
                <c:pt idx="4">
                  <c:v>GW5</c:v>
                </c:pt>
                <c:pt idx="5">
                  <c:v>GW6</c:v>
                </c:pt>
                <c:pt idx="6">
                  <c:v>GW7</c:v>
                </c:pt>
                <c:pt idx="7">
                  <c:v>GW8</c:v>
                </c:pt>
                <c:pt idx="8">
                  <c:v>GW9</c:v>
                </c:pt>
                <c:pt idx="9">
                  <c:v>GW10</c:v>
                </c:pt>
                <c:pt idx="10">
                  <c:v>GW11</c:v>
                </c:pt>
                <c:pt idx="11">
                  <c:v>GW12</c:v>
                </c:pt>
                <c:pt idx="12">
                  <c:v>GW13</c:v>
                </c:pt>
                <c:pt idx="13">
                  <c:v>GW14</c:v>
                </c:pt>
                <c:pt idx="14">
                  <c:v>GW15</c:v>
                </c:pt>
                <c:pt idx="15">
                  <c:v>GW16</c:v>
                </c:pt>
                <c:pt idx="16">
                  <c:v>GW17</c:v>
                </c:pt>
                <c:pt idx="17">
                  <c:v>GW18</c:v>
                </c:pt>
                <c:pt idx="18">
                  <c:v>GW19</c:v>
                </c:pt>
                <c:pt idx="19">
                  <c:v>GW20</c:v>
                </c:pt>
                <c:pt idx="20">
                  <c:v>GW21</c:v>
                </c:pt>
                <c:pt idx="21">
                  <c:v>GW22</c:v>
                </c:pt>
                <c:pt idx="22">
                  <c:v>GW23</c:v>
                </c:pt>
                <c:pt idx="23">
                  <c:v>GW24</c:v>
                </c:pt>
                <c:pt idx="24">
                  <c:v>GW25</c:v>
                </c:pt>
                <c:pt idx="25">
                  <c:v>GW26</c:v>
                </c:pt>
                <c:pt idx="26">
                  <c:v>GW27</c:v>
                </c:pt>
                <c:pt idx="27">
                  <c:v>GW28</c:v>
                </c:pt>
                <c:pt idx="28">
                  <c:v>GW29</c:v>
                </c:pt>
                <c:pt idx="29">
                  <c:v>GW30</c:v>
                </c:pt>
                <c:pt idx="30">
                  <c:v>GW31</c:v>
                </c:pt>
                <c:pt idx="31">
                  <c:v>GW32</c:v>
                </c:pt>
                <c:pt idx="32">
                  <c:v>GW33</c:v>
                </c:pt>
                <c:pt idx="33">
                  <c:v>GW34</c:v>
                </c:pt>
              </c:strCache>
            </c:strRef>
          </c:cat>
          <c:val>
            <c:numRef>
              <c:extLst>
                <c:ext xmlns:c15="http://schemas.microsoft.com/office/drawing/2012/chart" uri="{02D57815-91ED-43cb-92C2-25804820EDAC}">
                  <c15:fullRef>
                    <c15:sqref>Stats!$E$16:$AP$16</c15:sqref>
                  </c15:fullRef>
                </c:ext>
              </c:extLst>
              <c:f>Stats!$E$16:$AL$16</c:f>
              <c:numCache>
                <c:formatCode>_-* #\ ##0_-;\-* #\ ##0_-;_-* "-"??_-;_-@_-</c:formatCode>
                <c:ptCount val="34"/>
                <c:pt idx="0">
                  <c:v>56</c:v>
                </c:pt>
                <c:pt idx="1">
                  <c:v>60</c:v>
                </c:pt>
                <c:pt idx="2">
                  <c:v>47</c:v>
                </c:pt>
                <c:pt idx="3">
                  <c:v>63</c:v>
                </c:pt>
                <c:pt idx="4">
                  <c:v>45</c:v>
                </c:pt>
                <c:pt idx="5">
                  <c:v>62</c:v>
                </c:pt>
                <c:pt idx="6">
                  <c:v>64</c:v>
                </c:pt>
                <c:pt idx="7">
                  <c:v>53</c:v>
                </c:pt>
                <c:pt idx="8">
                  <c:v>51</c:v>
                </c:pt>
                <c:pt idx="9">
                  <c:v>68</c:v>
                </c:pt>
                <c:pt idx="10">
                  <c:v>53</c:v>
                </c:pt>
                <c:pt idx="11">
                  <c:v>29</c:v>
                </c:pt>
                <c:pt idx="12">
                  <c:v>50</c:v>
                </c:pt>
                <c:pt idx="13">
                  <c:v>87</c:v>
                </c:pt>
                <c:pt idx="14">
                  <c:v>57</c:v>
                </c:pt>
                <c:pt idx="15">
                  <c:v>76</c:v>
                </c:pt>
                <c:pt idx="16">
                  <c:v>74</c:v>
                </c:pt>
                <c:pt idx="17">
                  <c:v>40</c:v>
                </c:pt>
                <c:pt idx="18">
                  <c:v>26</c:v>
                </c:pt>
                <c:pt idx="19">
                  <c:v>49</c:v>
                </c:pt>
                <c:pt idx="20">
                  <c:v>56</c:v>
                </c:pt>
                <c:pt idx="21">
                  <c:v>27</c:v>
                </c:pt>
                <c:pt idx="22">
                  <c:v>44</c:v>
                </c:pt>
                <c:pt idx="23">
                  <c:v>59</c:v>
                </c:pt>
                <c:pt idx="24">
                  <c:v>80</c:v>
                </c:pt>
                <c:pt idx="25">
                  <c:v>44</c:v>
                </c:pt>
                <c:pt idx="26">
                  <c:v>34</c:v>
                </c:pt>
                <c:pt idx="27">
                  <c:v>79</c:v>
                </c:pt>
                <c:pt idx="28">
                  <c:v>74</c:v>
                </c:pt>
                <c:pt idx="29">
                  <c:v>61</c:v>
                </c:pt>
                <c:pt idx="30">
                  <c:v>55</c:v>
                </c:pt>
                <c:pt idx="31">
                  <c:v>44</c:v>
                </c:pt>
                <c:pt idx="32">
                  <c:v>112</c:v>
                </c:pt>
                <c:pt idx="33">
                  <c:v>71</c:v>
                </c:pt>
              </c:numCache>
            </c:numRef>
          </c:val>
          <c:smooth val="0"/>
          <c:extLst>
            <c:ext xmlns:c16="http://schemas.microsoft.com/office/drawing/2014/chart" uri="{C3380CC4-5D6E-409C-BE32-E72D297353CC}">
              <c16:uniqueId val="{00000007-4B15-424B-809B-F128746D1764}"/>
            </c:ext>
          </c:extLst>
        </c:ser>
        <c:ser>
          <c:idx val="8"/>
          <c:order val="8"/>
          <c:tx>
            <c:strRef>
              <c:f>Stats!$D$17</c:f>
              <c:strCache>
                <c:ptCount val="1"/>
                <c:pt idx="0">
                  <c:v>Los Primeros</c:v>
                </c:pt>
              </c:strCache>
            </c:strRef>
          </c:tx>
          <c:spPr>
            <a:ln w="28575" cap="rnd">
              <a:solidFill>
                <a:schemeClr val="accent3">
                  <a:lumMod val="60000"/>
                </a:schemeClr>
              </a:solidFill>
              <a:round/>
            </a:ln>
            <a:effectLst/>
          </c:spPr>
          <c:marker>
            <c:symbol val="none"/>
          </c:marker>
          <c:cat>
            <c:strRef>
              <c:extLst>
                <c:ext xmlns:c15="http://schemas.microsoft.com/office/drawing/2012/chart" uri="{02D57815-91ED-43cb-92C2-25804820EDAC}">
                  <c15:fullRef>
                    <c15:sqref>Stats!$E$8:$AP$8</c15:sqref>
                  </c15:fullRef>
                </c:ext>
              </c:extLst>
              <c:f>Stats!$E$8:$AL$8</c:f>
              <c:strCache>
                <c:ptCount val="34"/>
                <c:pt idx="0">
                  <c:v>GW1</c:v>
                </c:pt>
                <c:pt idx="1">
                  <c:v>GW2</c:v>
                </c:pt>
                <c:pt idx="2">
                  <c:v>GW3</c:v>
                </c:pt>
                <c:pt idx="3">
                  <c:v>GW4</c:v>
                </c:pt>
                <c:pt idx="4">
                  <c:v>GW5</c:v>
                </c:pt>
                <c:pt idx="5">
                  <c:v>GW6</c:v>
                </c:pt>
                <c:pt idx="6">
                  <c:v>GW7</c:v>
                </c:pt>
                <c:pt idx="7">
                  <c:v>GW8</c:v>
                </c:pt>
                <c:pt idx="8">
                  <c:v>GW9</c:v>
                </c:pt>
                <c:pt idx="9">
                  <c:v>GW10</c:v>
                </c:pt>
                <c:pt idx="10">
                  <c:v>GW11</c:v>
                </c:pt>
                <c:pt idx="11">
                  <c:v>GW12</c:v>
                </c:pt>
                <c:pt idx="12">
                  <c:v>GW13</c:v>
                </c:pt>
                <c:pt idx="13">
                  <c:v>GW14</c:v>
                </c:pt>
                <c:pt idx="14">
                  <c:v>GW15</c:v>
                </c:pt>
                <c:pt idx="15">
                  <c:v>GW16</c:v>
                </c:pt>
                <c:pt idx="16">
                  <c:v>GW17</c:v>
                </c:pt>
                <c:pt idx="17">
                  <c:v>GW18</c:v>
                </c:pt>
                <c:pt idx="18">
                  <c:v>GW19</c:v>
                </c:pt>
                <c:pt idx="19">
                  <c:v>GW20</c:v>
                </c:pt>
                <c:pt idx="20">
                  <c:v>GW21</c:v>
                </c:pt>
                <c:pt idx="21">
                  <c:v>GW22</c:v>
                </c:pt>
                <c:pt idx="22">
                  <c:v>GW23</c:v>
                </c:pt>
                <c:pt idx="23">
                  <c:v>GW24</c:v>
                </c:pt>
                <c:pt idx="24">
                  <c:v>GW25</c:v>
                </c:pt>
                <c:pt idx="25">
                  <c:v>GW26</c:v>
                </c:pt>
                <c:pt idx="26">
                  <c:v>GW27</c:v>
                </c:pt>
                <c:pt idx="27">
                  <c:v>GW28</c:v>
                </c:pt>
                <c:pt idx="28">
                  <c:v>GW29</c:v>
                </c:pt>
                <c:pt idx="29">
                  <c:v>GW30</c:v>
                </c:pt>
                <c:pt idx="30">
                  <c:v>GW31</c:v>
                </c:pt>
                <c:pt idx="31">
                  <c:v>GW32</c:v>
                </c:pt>
                <c:pt idx="32">
                  <c:v>GW33</c:v>
                </c:pt>
                <c:pt idx="33">
                  <c:v>GW34</c:v>
                </c:pt>
              </c:strCache>
            </c:strRef>
          </c:cat>
          <c:val>
            <c:numRef>
              <c:extLst>
                <c:ext xmlns:c15="http://schemas.microsoft.com/office/drawing/2012/chart" uri="{02D57815-91ED-43cb-92C2-25804820EDAC}">
                  <c15:fullRef>
                    <c15:sqref>Stats!$E$17:$AP$17</c15:sqref>
                  </c15:fullRef>
                </c:ext>
              </c:extLst>
              <c:f>Stats!$E$17:$AL$17</c:f>
              <c:numCache>
                <c:formatCode>_-* #\ ##0_-;\-* #\ ##0_-;_-* "-"??_-;_-@_-</c:formatCode>
                <c:ptCount val="34"/>
                <c:pt idx="0">
                  <c:v>56</c:v>
                </c:pt>
                <c:pt idx="1">
                  <c:v>49</c:v>
                </c:pt>
                <c:pt idx="2">
                  <c:v>50</c:v>
                </c:pt>
                <c:pt idx="3">
                  <c:v>75</c:v>
                </c:pt>
                <c:pt idx="4">
                  <c:v>32</c:v>
                </c:pt>
                <c:pt idx="5">
                  <c:v>53</c:v>
                </c:pt>
                <c:pt idx="6">
                  <c:v>63</c:v>
                </c:pt>
                <c:pt idx="7">
                  <c:v>56</c:v>
                </c:pt>
                <c:pt idx="8">
                  <c:v>49</c:v>
                </c:pt>
                <c:pt idx="9">
                  <c:v>53</c:v>
                </c:pt>
                <c:pt idx="10">
                  <c:v>40</c:v>
                </c:pt>
                <c:pt idx="11">
                  <c:v>33</c:v>
                </c:pt>
                <c:pt idx="12">
                  <c:v>30</c:v>
                </c:pt>
                <c:pt idx="13">
                  <c:v>57</c:v>
                </c:pt>
                <c:pt idx="14">
                  <c:v>46</c:v>
                </c:pt>
                <c:pt idx="15">
                  <c:v>76</c:v>
                </c:pt>
                <c:pt idx="16">
                  <c:v>64</c:v>
                </c:pt>
                <c:pt idx="17">
                  <c:v>42</c:v>
                </c:pt>
                <c:pt idx="18">
                  <c:v>57</c:v>
                </c:pt>
                <c:pt idx="19">
                  <c:v>43</c:v>
                </c:pt>
                <c:pt idx="20">
                  <c:v>60</c:v>
                </c:pt>
                <c:pt idx="21">
                  <c:v>46</c:v>
                </c:pt>
                <c:pt idx="22">
                  <c:v>31</c:v>
                </c:pt>
                <c:pt idx="23">
                  <c:v>71</c:v>
                </c:pt>
                <c:pt idx="24">
                  <c:v>76</c:v>
                </c:pt>
                <c:pt idx="25">
                  <c:v>70</c:v>
                </c:pt>
                <c:pt idx="26">
                  <c:v>46</c:v>
                </c:pt>
                <c:pt idx="27">
                  <c:v>67</c:v>
                </c:pt>
                <c:pt idx="28">
                  <c:v>69</c:v>
                </c:pt>
                <c:pt idx="29">
                  <c:v>50</c:v>
                </c:pt>
                <c:pt idx="30">
                  <c:v>50</c:v>
                </c:pt>
                <c:pt idx="31">
                  <c:v>61</c:v>
                </c:pt>
                <c:pt idx="32">
                  <c:v>74</c:v>
                </c:pt>
                <c:pt idx="33">
                  <c:v>22</c:v>
                </c:pt>
              </c:numCache>
            </c:numRef>
          </c:val>
          <c:smooth val="0"/>
          <c:extLst>
            <c:ext xmlns:c16="http://schemas.microsoft.com/office/drawing/2014/chart" uri="{C3380CC4-5D6E-409C-BE32-E72D297353CC}">
              <c16:uniqueId val="{00000008-4B15-424B-809B-F128746D1764}"/>
            </c:ext>
          </c:extLst>
        </c:ser>
        <c:ser>
          <c:idx val="9"/>
          <c:order val="9"/>
          <c:tx>
            <c:strRef>
              <c:f>Stats!$D$18</c:f>
              <c:strCache>
                <c:ptCount val="1"/>
                <c:pt idx="0">
                  <c:v>Palmergeddon</c:v>
                </c:pt>
              </c:strCache>
            </c:strRef>
          </c:tx>
          <c:spPr>
            <a:ln w="28575" cap="rnd">
              <a:solidFill>
                <a:schemeClr val="accent4">
                  <a:lumMod val="60000"/>
                </a:schemeClr>
              </a:solidFill>
              <a:round/>
            </a:ln>
            <a:effectLst/>
          </c:spPr>
          <c:marker>
            <c:symbol val="none"/>
          </c:marker>
          <c:cat>
            <c:strRef>
              <c:extLst>
                <c:ext xmlns:c15="http://schemas.microsoft.com/office/drawing/2012/chart" uri="{02D57815-91ED-43cb-92C2-25804820EDAC}">
                  <c15:fullRef>
                    <c15:sqref>Stats!$E$8:$AP$8</c15:sqref>
                  </c15:fullRef>
                </c:ext>
              </c:extLst>
              <c:f>Stats!$E$8:$AL$8</c:f>
              <c:strCache>
                <c:ptCount val="34"/>
                <c:pt idx="0">
                  <c:v>GW1</c:v>
                </c:pt>
                <c:pt idx="1">
                  <c:v>GW2</c:v>
                </c:pt>
                <c:pt idx="2">
                  <c:v>GW3</c:v>
                </c:pt>
                <c:pt idx="3">
                  <c:v>GW4</c:v>
                </c:pt>
                <c:pt idx="4">
                  <c:v>GW5</c:v>
                </c:pt>
                <c:pt idx="5">
                  <c:v>GW6</c:v>
                </c:pt>
                <c:pt idx="6">
                  <c:v>GW7</c:v>
                </c:pt>
                <c:pt idx="7">
                  <c:v>GW8</c:v>
                </c:pt>
                <c:pt idx="8">
                  <c:v>GW9</c:v>
                </c:pt>
                <c:pt idx="9">
                  <c:v>GW10</c:v>
                </c:pt>
                <c:pt idx="10">
                  <c:v>GW11</c:v>
                </c:pt>
                <c:pt idx="11">
                  <c:v>GW12</c:v>
                </c:pt>
                <c:pt idx="12">
                  <c:v>GW13</c:v>
                </c:pt>
                <c:pt idx="13">
                  <c:v>GW14</c:v>
                </c:pt>
                <c:pt idx="14">
                  <c:v>GW15</c:v>
                </c:pt>
                <c:pt idx="15">
                  <c:v>GW16</c:v>
                </c:pt>
                <c:pt idx="16">
                  <c:v>GW17</c:v>
                </c:pt>
                <c:pt idx="17">
                  <c:v>GW18</c:v>
                </c:pt>
                <c:pt idx="18">
                  <c:v>GW19</c:v>
                </c:pt>
                <c:pt idx="19">
                  <c:v>GW20</c:v>
                </c:pt>
                <c:pt idx="20">
                  <c:v>GW21</c:v>
                </c:pt>
                <c:pt idx="21">
                  <c:v>GW22</c:v>
                </c:pt>
                <c:pt idx="22">
                  <c:v>GW23</c:v>
                </c:pt>
                <c:pt idx="23">
                  <c:v>GW24</c:v>
                </c:pt>
                <c:pt idx="24">
                  <c:v>GW25</c:v>
                </c:pt>
                <c:pt idx="25">
                  <c:v>GW26</c:v>
                </c:pt>
                <c:pt idx="26">
                  <c:v>GW27</c:v>
                </c:pt>
                <c:pt idx="27">
                  <c:v>GW28</c:v>
                </c:pt>
                <c:pt idx="28">
                  <c:v>GW29</c:v>
                </c:pt>
                <c:pt idx="29">
                  <c:v>GW30</c:v>
                </c:pt>
                <c:pt idx="30">
                  <c:v>GW31</c:v>
                </c:pt>
                <c:pt idx="31">
                  <c:v>GW32</c:v>
                </c:pt>
                <c:pt idx="32">
                  <c:v>GW33</c:v>
                </c:pt>
                <c:pt idx="33">
                  <c:v>GW34</c:v>
                </c:pt>
              </c:strCache>
            </c:strRef>
          </c:cat>
          <c:val>
            <c:numRef>
              <c:extLst>
                <c:ext xmlns:c15="http://schemas.microsoft.com/office/drawing/2012/chart" uri="{02D57815-91ED-43cb-92C2-25804820EDAC}">
                  <c15:fullRef>
                    <c15:sqref>Stats!$E$18:$AP$18</c15:sqref>
                  </c15:fullRef>
                </c:ext>
              </c:extLst>
              <c:f>Stats!$E$18:$AL$18</c:f>
              <c:numCache>
                <c:formatCode>_-* #\ ##0_-;\-* #\ ##0_-;_-* "-"??_-;_-@_-</c:formatCode>
                <c:ptCount val="34"/>
                <c:pt idx="0">
                  <c:v>63</c:v>
                </c:pt>
                <c:pt idx="1">
                  <c:v>53</c:v>
                </c:pt>
                <c:pt idx="2">
                  <c:v>46</c:v>
                </c:pt>
                <c:pt idx="3">
                  <c:v>70</c:v>
                </c:pt>
                <c:pt idx="4">
                  <c:v>50</c:v>
                </c:pt>
                <c:pt idx="5">
                  <c:v>59</c:v>
                </c:pt>
                <c:pt idx="6">
                  <c:v>77</c:v>
                </c:pt>
                <c:pt idx="7">
                  <c:v>58</c:v>
                </c:pt>
                <c:pt idx="8">
                  <c:v>57</c:v>
                </c:pt>
                <c:pt idx="9">
                  <c:v>89</c:v>
                </c:pt>
                <c:pt idx="10">
                  <c:v>39</c:v>
                </c:pt>
                <c:pt idx="11">
                  <c:v>71</c:v>
                </c:pt>
                <c:pt idx="12">
                  <c:v>17</c:v>
                </c:pt>
                <c:pt idx="13">
                  <c:v>47</c:v>
                </c:pt>
                <c:pt idx="14">
                  <c:v>61</c:v>
                </c:pt>
                <c:pt idx="15">
                  <c:v>67</c:v>
                </c:pt>
                <c:pt idx="16">
                  <c:v>82</c:v>
                </c:pt>
                <c:pt idx="17">
                  <c:v>45</c:v>
                </c:pt>
                <c:pt idx="18">
                  <c:v>49</c:v>
                </c:pt>
                <c:pt idx="19">
                  <c:v>67</c:v>
                </c:pt>
                <c:pt idx="20">
                  <c:v>51</c:v>
                </c:pt>
                <c:pt idx="21">
                  <c:v>34</c:v>
                </c:pt>
                <c:pt idx="22">
                  <c:v>42</c:v>
                </c:pt>
                <c:pt idx="23">
                  <c:v>52</c:v>
                </c:pt>
                <c:pt idx="24">
                  <c:v>72</c:v>
                </c:pt>
                <c:pt idx="25">
                  <c:v>66</c:v>
                </c:pt>
                <c:pt idx="26">
                  <c:v>38</c:v>
                </c:pt>
                <c:pt idx="27">
                  <c:v>64</c:v>
                </c:pt>
                <c:pt idx="28">
                  <c:v>68</c:v>
                </c:pt>
                <c:pt idx="29">
                  <c:v>61</c:v>
                </c:pt>
                <c:pt idx="30">
                  <c:v>55</c:v>
                </c:pt>
                <c:pt idx="31">
                  <c:v>50</c:v>
                </c:pt>
                <c:pt idx="32">
                  <c:v>91</c:v>
                </c:pt>
                <c:pt idx="33">
                  <c:v>58</c:v>
                </c:pt>
              </c:numCache>
            </c:numRef>
          </c:val>
          <c:smooth val="0"/>
          <c:extLst>
            <c:ext xmlns:c16="http://schemas.microsoft.com/office/drawing/2014/chart" uri="{C3380CC4-5D6E-409C-BE32-E72D297353CC}">
              <c16:uniqueId val="{00000009-4B15-424B-809B-F128746D1764}"/>
            </c:ext>
          </c:extLst>
        </c:ser>
        <c:ser>
          <c:idx val="10"/>
          <c:order val="10"/>
          <c:tx>
            <c:strRef>
              <c:f>Stats!$D$19</c:f>
              <c:strCache>
                <c:ptCount val="1"/>
                <c:pt idx="0">
                  <c:v>Rice Rice Baby</c:v>
                </c:pt>
              </c:strCache>
            </c:strRef>
          </c:tx>
          <c:spPr>
            <a:ln w="28575" cap="rnd">
              <a:solidFill>
                <a:schemeClr val="accent5">
                  <a:lumMod val="60000"/>
                </a:schemeClr>
              </a:solidFill>
              <a:round/>
            </a:ln>
            <a:effectLst/>
          </c:spPr>
          <c:marker>
            <c:symbol val="none"/>
          </c:marker>
          <c:cat>
            <c:strRef>
              <c:extLst>
                <c:ext xmlns:c15="http://schemas.microsoft.com/office/drawing/2012/chart" uri="{02D57815-91ED-43cb-92C2-25804820EDAC}">
                  <c15:fullRef>
                    <c15:sqref>Stats!$E$8:$AP$8</c15:sqref>
                  </c15:fullRef>
                </c:ext>
              </c:extLst>
              <c:f>Stats!$E$8:$AL$8</c:f>
              <c:strCache>
                <c:ptCount val="34"/>
                <c:pt idx="0">
                  <c:v>GW1</c:v>
                </c:pt>
                <c:pt idx="1">
                  <c:v>GW2</c:v>
                </c:pt>
                <c:pt idx="2">
                  <c:v>GW3</c:v>
                </c:pt>
                <c:pt idx="3">
                  <c:v>GW4</c:v>
                </c:pt>
                <c:pt idx="4">
                  <c:v>GW5</c:v>
                </c:pt>
                <c:pt idx="5">
                  <c:v>GW6</c:v>
                </c:pt>
                <c:pt idx="6">
                  <c:v>GW7</c:v>
                </c:pt>
                <c:pt idx="7">
                  <c:v>GW8</c:v>
                </c:pt>
                <c:pt idx="8">
                  <c:v>GW9</c:v>
                </c:pt>
                <c:pt idx="9">
                  <c:v>GW10</c:v>
                </c:pt>
                <c:pt idx="10">
                  <c:v>GW11</c:v>
                </c:pt>
                <c:pt idx="11">
                  <c:v>GW12</c:v>
                </c:pt>
                <c:pt idx="12">
                  <c:v>GW13</c:v>
                </c:pt>
                <c:pt idx="13">
                  <c:v>GW14</c:v>
                </c:pt>
                <c:pt idx="14">
                  <c:v>GW15</c:v>
                </c:pt>
                <c:pt idx="15">
                  <c:v>GW16</c:v>
                </c:pt>
                <c:pt idx="16">
                  <c:v>GW17</c:v>
                </c:pt>
                <c:pt idx="17">
                  <c:v>GW18</c:v>
                </c:pt>
                <c:pt idx="18">
                  <c:v>GW19</c:v>
                </c:pt>
                <c:pt idx="19">
                  <c:v>GW20</c:v>
                </c:pt>
                <c:pt idx="20">
                  <c:v>GW21</c:v>
                </c:pt>
                <c:pt idx="21">
                  <c:v>GW22</c:v>
                </c:pt>
                <c:pt idx="22">
                  <c:v>GW23</c:v>
                </c:pt>
                <c:pt idx="23">
                  <c:v>GW24</c:v>
                </c:pt>
                <c:pt idx="24">
                  <c:v>GW25</c:v>
                </c:pt>
                <c:pt idx="25">
                  <c:v>GW26</c:v>
                </c:pt>
                <c:pt idx="26">
                  <c:v>GW27</c:v>
                </c:pt>
                <c:pt idx="27">
                  <c:v>GW28</c:v>
                </c:pt>
                <c:pt idx="28">
                  <c:v>GW29</c:v>
                </c:pt>
                <c:pt idx="29">
                  <c:v>GW30</c:v>
                </c:pt>
                <c:pt idx="30">
                  <c:v>GW31</c:v>
                </c:pt>
                <c:pt idx="31">
                  <c:v>GW32</c:v>
                </c:pt>
                <c:pt idx="32">
                  <c:v>GW33</c:v>
                </c:pt>
                <c:pt idx="33">
                  <c:v>GW34</c:v>
                </c:pt>
              </c:strCache>
            </c:strRef>
          </c:cat>
          <c:val>
            <c:numRef>
              <c:extLst>
                <c:ext xmlns:c15="http://schemas.microsoft.com/office/drawing/2012/chart" uri="{02D57815-91ED-43cb-92C2-25804820EDAC}">
                  <c15:fullRef>
                    <c15:sqref>Stats!$E$19:$AP$19</c15:sqref>
                  </c15:fullRef>
                </c:ext>
              </c:extLst>
              <c:f>Stats!$E$19:$AL$19</c:f>
              <c:numCache>
                <c:formatCode>_-* #\ ##0_-;\-* #\ ##0_-;_-* "-"??_-;_-@_-</c:formatCode>
                <c:ptCount val="34"/>
                <c:pt idx="0">
                  <c:v>50</c:v>
                </c:pt>
                <c:pt idx="1">
                  <c:v>64</c:v>
                </c:pt>
                <c:pt idx="2">
                  <c:v>36</c:v>
                </c:pt>
                <c:pt idx="3">
                  <c:v>65</c:v>
                </c:pt>
                <c:pt idx="4">
                  <c:v>34</c:v>
                </c:pt>
                <c:pt idx="5">
                  <c:v>46</c:v>
                </c:pt>
                <c:pt idx="6">
                  <c:v>67</c:v>
                </c:pt>
                <c:pt idx="7">
                  <c:v>58</c:v>
                </c:pt>
                <c:pt idx="8">
                  <c:v>46</c:v>
                </c:pt>
                <c:pt idx="9">
                  <c:v>67</c:v>
                </c:pt>
                <c:pt idx="10">
                  <c:v>25</c:v>
                </c:pt>
                <c:pt idx="11">
                  <c:v>29</c:v>
                </c:pt>
                <c:pt idx="12">
                  <c:v>34</c:v>
                </c:pt>
                <c:pt idx="13">
                  <c:v>70</c:v>
                </c:pt>
                <c:pt idx="14">
                  <c:v>39</c:v>
                </c:pt>
                <c:pt idx="15">
                  <c:v>73</c:v>
                </c:pt>
                <c:pt idx="16">
                  <c:v>80</c:v>
                </c:pt>
                <c:pt idx="17">
                  <c:v>31</c:v>
                </c:pt>
                <c:pt idx="18">
                  <c:v>33</c:v>
                </c:pt>
                <c:pt idx="19">
                  <c:v>33</c:v>
                </c:pt>
                <c:pt idx="20">
                  <c:v>69</c:v>
                </c:pt>
                <c:pt idx="21">
                  <c:v>41</c:v>
                </c:pt>
                <c:pt idx="22">
                  <c:v>33</c:v>
                </c:pt>
                <c:pt idx="23">
                  <c:v>45</c:v>
                </c:pt>
                <c:pt idx="24">
                  <c:v>65</c:v>
                </c:pt>
                <c:pt idx="25">
                  <c:v>74</c:v>
                </c:pt>
                <c:pt idx="26">
                  <c:v>44</c:v>
                </c:pt>
                <c:pt idx="27">
                  <c:v>70</c:v>
                </c:pt>
                <c:pt idx="28">
                  <c:v>53</c:v>
                </c:pt>
                <c:pt idx="29">
                  <c:v>76</c:v>
                </c:pt>
                <c:pt idx="30">
                  <c:v>53</c:v>
                </c:pt>
                <c:pt idx="31">
                  <c:v>66</c:v>
                </c:pt>
                <c:pt idx="32">
                  <c:v>67</c:v>
                </c:pt>
                <c:pt idx="33">
                  <c:v>55</c:v>
                </c:pt>
              </c:numCache>
            </c:numRef>
          </c:val>
          <c:smooth val="0"/>
          <c:extLst>
            <c:ext xmlns:c16="http://schemas.microsoft.com/office/drawing/2014/chart" uri="{C3380CC4-5D6E-409C-BE32-E72D297353CC}">
              <c16:uniqueId val="{0000000A-4B15-424B-809B-F128746D1764}"/>
            </c:ext>
          </c:extLst>
        </c:ser>
        <c:ser>
          <c:idx val="11"/>
          <c:order val="11"/>
          <c:tx>
            <c:strRef>
              <c:f>Stats!$D$20</c:f>
              <c:strCache>
                <c:ptCount val="1"/>
                <c:pt idx="0">
                  <c:v>Root_.5 FC</c:v>
                </c:pt>
              </c:strCache>
            </c:strRef>
          </c:tx>
          <c:spPr>
            <a:ln w="28575" cap="rnd">
              <a:solidFill>
                <a:schemeClr val="accent6">
                  <a:lumMod val="60000"/>
                </a:schemeClr>
              </a:solidFill>
              <a:round/>
            </a:ln>
            <a:effectLst/>
          </c:spPr>
          <c:marker>
            <c:symbol val="none"/>
          </c:marker>
          <c:cat>
            <c:strRef>
              <c:extLst>
                <c:ext xmlns:c15="http://schemas.microsoft.com/office/drawing/2012/chart" uri="{02D57815-91ED-43cb-92C2-25804820EDAC}">
                  <c15:fullRef>
                    <c15:sqref>Stats!$E$8:$AP$8</c15:sqref>
                  </c15:fullRef>
                </c:ext>
              </c:extLst>
              <c:f>Stats!$E$8:$AL$8</c:f>
              <c:strCache>
                <c:ptCount val="34"/>
                <c:pt idx="0">
                  <c:v>GW1</c:v>
                </c:pt>
                <c:pt idx="1">
                  <c:v>GW2</c:v>
                </c:pt>
                <c:pt idx="2">
                  <c:v>GW3</c:v>
                </c:pt>
                <c:pt idx="3">
                  <c:v>GW4</c:v>
                </c:pt>
                <c:pt idx="4">
                  <c:v>GW5</c:v>
                </c:pt>
                <c:pt idx="5">
                  <c:v>GW6</c:v>
                </c:pt>
                <c:pt idx="6">
                  <c:v>GW7</c:v>
                </c:pt>
                <c:pt idx="7">
                  <c:v>GW8</c:v>
                </c:pt>
                <c:pt idx="8">
                  <c:v>GW9</c:v>
                </c:pt>
                <c:pt idx="9">
                  <c:v>GW10</c:v>
                </c:pt>
                <c:pt idx="10">
                  <c:v>GW11</c:v>
                </c:pt>
                <c:pt idx="11">
                  <c:v>GW12</c:v>
                </c:pt>
                <c:pt idx="12">
                  <c:v>GW13</c:v>
                </c:pt>
                <c:pt idx="13">
                  <c:v>GW14</c:v>
                </c:pt>
                <c:pt idx="14">
                  <c:v>GW15</c:v>
                </c:pt>
                <c:pt idx="15">
                  <c:v>GW16</c:v>
                </c:pt>
                <c:pt idx="16">
                  <c:v>GW17</c:v>
                </c:pt>
                <c:pt idx="17">
                  <c:v>GW18</c:v>
                </c:pt>
                <c:pt idx="18">
                  <c:v>GW19</c:v>
                </c:pt>
                <c:pt idx="19">
                  <c:v>GW20</c:v>
                </c:pt>
                <c:pt idx="20">
                  <c:v>GW21</c:v>
                </c:pt>
                <c:pt idx="21">
                  <c:v>GW22</c:v>
                </c:pt>
                <c:pt idx="22">
                  <c:v>GW23</c:v>
                </c:pt>
                <c:pt idx="23">
                  <c:v>GW24</c:v>
                </c:pt>
                <c:pt idx="24">
                  <c:v>GW25</c:v>
                </c:pt>
                <c:pt idx="25">
                  <c:v>GW26</c:v>
                </c:pt>
                <c:pt idx="26">
                  <c:v>GW27</c:v>
                </c:pt>
                <c:pt idx="27">
                  <c:v>GW28</c:v>
                </c:pt>
                <c:pt idx="28">
                  <c:v>GW29</c:v>
                </c:pt>
                <c:pt idx="29">
                  <c:v>GW30</c:v>
                </c:pt>
                <c:pt idx="30">
                  <c:v>GW31</c:v>
                </c:pt>
                <c:pt idx="31">
                  <c:v>GW32</c:v>
                </c:pt>
                <c:pt idx="32">
                  <c:v>GW33</c:v>
                </c:pt>
                <c:pt idx="33">
                  <c:v>GW34</c:v>
                </c:pt>
              </c:strCache>
            </c:strRef>
          </c:cat>
          <c:val>
            <c:numRef>
              <c:extLst>
                <c:ext xmlns:c15="http://schemas.microsoft.com/office/drawing/2012/chart" uri="{02D57815-91ED-43cb-92C2-25804820EDAC}">
                  <c15:fullRef>
                    <c15:sqref>Stats!$E$20:$AP$20</c15:sqref>
                  </c15:fullRef>
                </c:ext>
              </c:extLst>
              <c:f>Stats!$E$20:$AL$20</c:f>
              <c:numCache>
                <c:formatCode>_-* #\ ##0_-;\-* #\ ##0_-;_-* "-"??_-;_-@_-</c:formatCode>
                <c:ptCount val="34"/>
                <c:pt idx="0">
                  <c:v>52</c:v>
                </c:pt>
                <c:pt idx="1">
                  <c:v>38</c:v>
                </c:pt>
                <c:pt idx="2">
                  <c:v>35</c:v>
                </c:pt>
                <c:pt idx="3">
                  <c:v>64</c:v>
                </c:pt>
                <c:pt idx="4">
                  <c:v>55</c:v>
                </c:pt>
                <c:pt idx="5">
                  <c:v>53</c:v>
                </c:pt>
                <c:pt idx="6">
                  <c:v>62</c:v>
                </c:pt>
                <c:pt idx="7">
                  <c:v>51</c:v>
                </c:pt>
                <c:pt idx="8">
                  <c:v>29</c:v>
                </c:pt>
                <c:pt idx="9">
                  <c:v>58</c:v>
                </c:pt>
                <c:pt idx="10">
                  <c:v>29</c:v>
                </c:pt>
                <c:pt idx="11">
                  <c:v>45</c:v>
                </c:pt>
                <c:pt idx="12">
                  <c:v>59</c:v>
                </c:pt>
                <c:pt idx="13">
                  <c:v>55</c:v>
                </c:pt>
                <c:pt idx="14">
                  <c:v>53</c:v>
                </c:pt>
                <c:pt idx="15">
                  <c:v>76</c:v>
                </c:pt>
                <c:pt idx="16">
                  <c:v>79</c:v>
                </c:pt>
                <c:pt idx="17">
                  <c:v>55</c:v>
                </c:pt>
                <c:pt idx="18">
                  <c:v>39</c:v>
                </c:pt>
                <c:pt idx="19">
                  <c:v>42</c:v>
                </c:pt>
                <c:pt idx="20">
                  <c:v>64</c:v>
                </c:pt>
                <c:pt idx="21">
                  <c:v>31</c:v>
                </c:pt>
                <c:pt idx="22">
                  <c:v>57</c:v>
                </c:pt>
                <c:pt idx="23">
                  <c:v>45</c:v>
                </c:pt>
                <c:pt idx="24">
                  <c:v>80</c:v>
                </c:pt>
                <c:pt idx="25">
                  <c:v>45</c:v>
                </c:pt>
                <c:pt idx="26">
                  <c:v>37</c:v>
                </c:pt>
                <c:pt idx="27">
                  <c:v>62</c:v>
                </c:pt>
                <c:pt idx="28">
                  <c:v>74</c:v>
                </c:pt>
                <c:pt idx="29">
                  <c:v>46</c:v>
                </c:pt>
                <c:pt idx="30">
                  <c:v>51</c:v>
                </c:pt>
                <c:pt idx="31">
                  <c:v>66</c:v>
                </c:pt>
                <c:pt idx="32">
                  <c:v>80</c:v>
                </c:pt>
                <c:pt idx="33">
                  <c:v>52</c:v>
                </c:pt>
              </c:numCache>
            </c:numRef>
          </c:val>
          <c:smooth val="0"/>
          <c:extLst>
            <c:ext xmlns:c16="http://schemas.microsoft.com/office/drawing/2014/chart" uri="{C3380CC4-5D6E-409C-BE32-E72D297353CC}">
              <c16:uniqueId val="{0000000B-4B15-424B-809B-F128746D1764}"/>
            </c:ext>
          </c:extLst>
        </c:ser>
        <c:ser>
          <c:idx val="12"/>
          <c:order val="12"/>
          <c:tx>
            <c:strRef>
              <c:f>Stats!$D$21</c:f>
              <c:strCache>
                <c:ptCount val="1"/>
                <c:pt idx="0">
                  <c:v>Šeśko Mode</c:v>
                </c:pt>
              </c:strCache>
            </c:strRef>
          </c:tx>
          <c:spPr>
            <a:ln w="28575" cap="rnd">
              <a:solidFill>
                <a:schemeClr val="accent1">
                  <a:lumMod val="80000"/>
                  <a:lumOff val="20000"/>
                </a:schemeClr>
              </a:solidFill>
              <a:round/>
            </a:ln>
            <a:effectLst/>
          </c:spPr>
          <c:marker>
            <c:symbol val="none"/>
          </c:marker>
          <c:cat>
            <c:strRef>
              <c:extLst>
                <c:ext xmlns:c15="http://schemas.microsoft.com/office/drawing/2012/chart" uri="{02D57815-91ED-43cb-92C2-25804820EDAC}">
                  <c15:fullRef>
                    <c15:sqref>Stats!$E$8:$AP$8</c15:sqref>
                  </c15:fullRef>
                </c:ext>
              </c:extLst>
              <c:f>Stats!$E$8:$AL$8</c:f>
              <c:strCache>
                <c:ptCount val="34"/>
                <c:pt idx="0">
                  <c:v>GW1</c:v>
                </c:pt>
                <c:pt idx="1">
                  <c:v>GW2</c:v>
                </c:pt>
                <c:pt idx="2">
                  <c:v>GW3</c:v>
                </c:pt>
                <c:pt idx="3">
                  <c:v>GW4</c:v>
                </c:pt>
                <c:pt idx="4">
                  <c:v>GW5</c:v>
                </c:pt>
                <c:pt idx="5">
                  <c:v>GW6</c:v>
                </c:pt>
                <c:pt idx="6">
                  <c:v>GW7</c:v>
                </c:pt>
                <c:pt idx="7">
                  <c:v>GW8</c:v>
                </c:pt>
                <c:pt idx="8">
                  <c:v>GW9</c:v>
                </c:pt>
                <c:pt idx="9">
                  <c:v>GW10</c:v>
                </c:pt>
                <c:pt idx="10">
                  <c:v>GW11</c:v>
                </c:pt>
                <c:pt idx="11">
                  <c:v>GW12</c:v>
                </c:pt>
                <c:pt idx="12">
                  <c:v>GW13</c:v>
                </c:pt>
                <c:pt idx="13">
                  <c:v>GW14</c:v>
                </c:pt>
                <c:pt idx="14">
                  <c:v>GW15</c:v>
                </c:pt>
                <c:pt idx="15">
                  <c:v>GW16</c:v>
                </c:pt>
                <c:pt idx="16">
                  <c:v>GW17</c:v>
                </c:pt>
                <c:pt idx="17">
                  <c:v>GW18</c:v>
                </c:pt>
                <c:pt idx="18">
                  <c:v>GW19</c:v>
                </c:pt>
                <c:pt idx="19">
                  <c:v>GW20</c:v>
                </c:pt>
                <c:pt idx="20">
                  <c:v>GW21</c:v>
                </c:pt>
                <c:pt idx="21">
                  <c:v>GW22</c:v>
                </c:pt>
                <c:pt idx="22">
                  <c:v>GW23</c:v>
                </c:pt>
                <c:pt idx="23">
                  <c:v>GW24</c:v>
                </c:pt>
                <c:pt idx="24">
                  <c:v>GW25</c:v>
                </c:pt>
                <c:pt idx="25">
                  <c:v>GW26</c:v>
                </c:pt>
                <c:pt idx="26">
                  <c:v>GW27</c:v>
                </c:pt>
                <c:pt idx="27">
                  <c:v>GW28</c:v>
                </c:pt>
                <c:pt idx="28">
                  <c:v>GW29</c:v>
                </c:pt>
                <c:pt idx="29">
                  <c:v>GW30</c:v>
                </c:pt>
                <c:pt idx="30">
                  <c:v>GW31</c:v>
                </c:pt>
                <c:pt idx="31">
                  <c:v>GW32</c:v>
                </c:pt>
                <c:pt idx="32">
                  <c:v>GW33</c:v>
                </c:pt>
                <c:pt idx="33">
                  <c:v>GW34</c:v>
                </c:pt>
              </c:strCache>
            </c:strRef>
          </c:cat>
          <c:val>
            <c:numRef>
              <c:extLst>
                <c:ext xmlns:c15="http://schemas.microsoft.com/office/drawing/2012/chart" uri="{02D57815-91ED-43cb-92C2-25804820EDAC}">
                  <c15:fullRef>
                    <c15:sqref>Stats!$E$21:$AP$21</c15:sqref>
                  </c15:fullRef>
                </c:ext>
              </c:extLst>
              <c:f>Stats!$E$21:$AL$21</c:f>
              <c:numCache>
                <c:formatCode>_-* #\ ##0_-;\-* #\ ##0_-;_-* "-"??_-;_-@_-</c:formatCode>
                <c:ptCount val="34"/>
                <c:pt idx="0">
                  <c:v>63</c:v>
                </c:pt>
                <c:pt idx="1">
                  <c:v>52</c:v>
                </c:pt>
                <c:pt idx="2">
                  <c:v>43</c:v>
                </c:pt>
                <c:pt idx="3">
                  <c:v>79</c:v>
                </c:pt>
                <c:pt idx="4">
                  <c:v>52</c:v>
                </c:pt>
                <c:pt idx="5">
                  <c:v>70</c:v>
                </c:pt>
                <c:pt idx="6">
                  <c:v>69</c:v>
                </c:pt>
                <c:pt idx="7">
                  <c:v>66</c:v>
                </c:pt>
                <c:pt idx="8">
                  <c:v>42</c:v>
                </c:pt>
                <c:pt idx="9">
                  <c:v>71</c:v>
                </c:pt>
                <c:pt idx="10">
                  <c:v>45</c:v>
                </c:pt>
                <c:pt idx="11">
                  <c:v>31</c:v>
                </c:pt>
                <c:pt idx="12">
                  <c:v>74</c:v>
                </c:pt>
                <c:pt idx="13">
                  <c:v>55</c:v>
                </c:pt>
                <c:pt idx="14">
                  <c:v>68</c:v>
                </c:pt>
                <c:pt idx="15">
                  <c:v>91</c:v>
                </c:pt>
                <c:pt idx="16">
                  <c:v>90</c:v>
                </c:pt>
                <c:pt idx="17">
                  <c:v>52</c:v>
                </c:pt>
                <c:pt idx="18">
                  <c:v>39</c:v>
                </c:pt>
                <c:pt idx="19">
                  <c:v>43</c:v>
                </c:pt>
                <c:pt idx="20">
                  <c:v>61</c:v>
                </c:pt>
                <c:pt idx="21">
                  <c:v>35</c:v>
                </c:pt>
                <c:pt idx="22">
                  <c:v>35</c:v>
                </c:pt>
                <c:pt idx="23">
                  <c:v>65</c:v>
                </c:pt>
                <c:pt idx="24">
                  <c:v>69</c:v>
                </c:pt>
                <c:pt idx="25">
                  <c:v>56</c:v>
                </c:pt>
                <c:pt idx="26">
                  <c:v>46</c:v>
                </c:pt>
                <c:pt idx="27">
                  <c:v>75</c:v>
                </c:pt>
                <c:pt idx="28">
                  <c:v>63</c:v>
                </c:pt>
                <c:pt idx="29">
                  <c:v>78</c:v>
                </c:pt>
                <c:pt idx="30">
                  <c:v>54</c:v>
                </c:pt>
                <c:pt idx="31">
                  <c:v>58</c:v>
                </c:pt>
                <c:pt idx="32">
                  <c:v>134</c:v>
                </c:pt>
                <c:pt idx="33">
                  <c:v>60</c:v>
                </c:pt>
              </c:numCache>
            </c:numRef>
          </c:val>
          <c:smooth val="0"/>
          <c:extLst>
            <c:ext xmlns:c16="http://schemas.microsoft.com/office/drawing/2014/chart" uri="{C3380CC4-5D6E-409C-BE32-E72D297353CC}">
              <c16:uniqueId val="{0000000C-4B15-424B-809B-F128746D1764}"/>
            </c:ext>
          </c:extLst>
        </c:ser>
        <c:ser>
          <c:idx val="13"/>
          <c:order val="13"/>
          <c:tx>
            <c:strRef>
              <c:f>Stats!$D$22</c:f>
              <c:strCache>
                <c:ptCount val="1"/>
                <c:pt idx="0">
                  <c:v>Sthe Coqueto</c:v>
                </c:pt>
              </c:strCache>
            </c:strRef>
          </c:tx>
          <c:spPr>
            <a:ln w="28575" cap="rnd">
              <a:solidFill>
                <a:schemeClr val="accent2">
                  <a:lumMod val="80000"/>
                  <a:lumOff val="20000"/>
                </a:schemeClr>
              </a:solidFill>
              <a:round/>
            </a:ln>
            <a:effectLst/>
          </c:spPr>
          <c:marker>
            <c:symbol val="none"/>
          </c:marker>
          <c:cat>
            <c:strRef>
              <c:extLst>
                <c:ext xmlns:c15="http://schemas.microsoft.com/office/drawing/2012/chart" uri="{02D57815-91ED-43cb-92C2-25804820EDAC}">
                  <c15:fullRef>
                    <c15:sqref>Stats!$E$8:$AP$8</c15:sqref>
                  </c15:fullRef>
                </c:ext>
              </c:extLst>
              <c:f>Stats!$E$8:$AL$8</c:f>
              <c:strCache>
                <c:ptCount val="34"/>
                <c:pt idx="0">
                  <c:v>GW1</c:v>
                </c:pt>
                <c:pt idx="1">
                  <c:v>GW2</c:v>
                </c:pt>
                <c:pt idx="2">
                  <c:v>GW3</c:v>
                </c:pt>
                <c:pt idx="3">
                  <c:v>GW4</c:v>
                </c:pt>
                <c:pt idx="4">
                  <c:v>GW5</c:v>
                </c:pt>
                <c:pt idx="5">
                  <c:v>GW6</c:v>
                </c:pt>
                <c:pt idx="6">
                  <c:v>GW7</c:v>
                </c:pt>
                <c:pt idx="7">
                  <c:v>GW8</c:v>
                </c:pt>
                <c:pt idx="8">
                  <c:v>GW9</c:v>
                </c:pt>
                <c:pt idx="9">
                  <c:v>GW10</c:v>
                </c:pt>
                <c:pt idx="10">
                  <c:v>GW11</c:v>
                </c:pt>
                <c:pt idx="11">
                  <c:v>GW12</c:v>
                </c:pt>
                <c:pt idx="12">
                  <c:v>GW13</c:v>
                </c:pt>
                <c:pt idx="13">
                  <c:v>GW14</c:v>
                </c:pt>
                <c:pt idx="14">
                  <c:v>GW15</c:v>
                </c:pt>
                <c:pt idx="15">
                  <c:v>GW16</c:v>
                </c:pt>
                <c:pt idx="16">
                  <c:v>GW17</c:v>
                </c:pt>
                <c:pt idx="17">
                  <c:v>GW18</c:v>
                </c:pt>
                <c:pt idx="18">
                  <c:v>GW19</c:v>
                </c:pt>
                <c:pt idx="19">
                  <c:v>GW20</c:v>
                </c:pt>
                <c:pt idx="20">
                  <c:v>GW21</c:v>
                </c:pt>
                <c:pt idx="21">
                  <c:v>GW22</c:v>
                </c:pt>
                <c:pt idx="22">
                  <c:v>GW23</c:v>
                </c:pt>
                <c:pt idx="23">
                  <c:v>GW24</c:v>
                </c:pt>
                <c:pt idx="24">
                  <c:v>GW25</c:v>
                </c:pt>
                <c:pt idx="25">
                  <c:v>GW26</c:v>
                </c:pt>
                <c:pt idx="26">
                  <c:v>GW27</c:v>
                </c:pt>
                <c:pt idx="27">
                  <c:v>GW28</c:v>
                </c:pt>
                <c:pt idx="28">
                  <c:v>GW29</c:v>
                </c:pt>
                <c:pt idx="29">
                  <c:v>GW30</c:v>
                </c:pt>
                <c:pt idx="30">
                  <c:v>GW31</c:v>
                </c:pt>
                <c:pt idx="31">
                  <c:v>GW32</c:v>
                </c:pt>
                <c:pt idx="32">
                  <c:v>GW33</c:v>
                </c:pt>
                <c:pt idx="33">
                  <c:v>GW34</c:v>
                </c:pt>
              </c:strCache>
            </c:strRef>
          </c:cat>
          <c:val>
            <c:numRef>
              <c:extLst>
                <c:ext xmlns:c15="http://schemas.microsoft.com/office/drawing/2012/chart" uri="{02D57815-91ED-43cb-92C2-25804820EDAC}">
                  <c15:fullRef>
                    <c15:sqref>Stats!$E$22:$AP$22</c15:sqref>
                  </c15:fullRef>
                </c:ext>
              </c:extLst>
              <c:f>Stats!$E$22:$AL$22</c:f>
              <c:numCache>
                <c:formatCode>_-* #\ ##0_-;\-* #\ ##0_-;_-* "-"??_-;_-@_-</c:formatCode>
                <c:ptCount val="34"/>
                <c:pt idx="0">
                  <c:v>34</c:v>
                </c:pt>
                <c:pt idx="1">
                  <c:v>35</c:v>
                </c:pt>
                <c:pt idx="2">
                  <c:v>54</c:v>
                </c:pt>
                <c:pt idx="3">
                  <c:v>47</c:v>
                </c:pt>
                <c:pt idx="4">
                  <c:v>46</c:v>
                </c:pt>
                <c:pt idx="5">
                  <c:v>56</c:v>
                </c:pt>
                <c:pt idx="6">
                  <c:v>60</c:v>
                </c:pt>
                <c:pt idx="7">
                  <c:v>62</c:v>
                </c:pt>
                <c:pt idx="8">
                  <c:v>44</c:v>
                </c:pt>
                <c:pt idx="9">
                  <c:v>87</c:v>
                </c:pt>
                <c:pt idx="10">
                  <c:v>43</c:v>
                </c:pt>
                <c:pt idx="11">
                  <c:v>28</c:v>
                </c:pt>
                <c:pt idx="12">
                  <c:v>28</c:v>
                </c:pt>
                <c:pt idx="13">
                  <c:v>62</c:v>
                </c:pt>
                <c:pt idx="14">
                  <c:v>40</c:v>
                </c:pt>
                <c:pt idx="15">
                  <c:v>57</c:v>
                </c:pt>
                <c:pt idx="16">
                  <c:v>72</c:v>
                </c:pt>
                <c:pt idx="17">
                  <c:v>53</c:v>
                </c:pt>
                <c:pt idx="18">
                  <c:v>50</c:v>
                </c:pt>
                <c:pt idx="19">
                  <c:v>52</c:v>
                </c:pt>
                <c:pt idx="20">
                  <c:v>60</c:v>
                </c:pt>
                <c:pt idx="21">
                  <c:v>30</c:v>
                </c:pt>
                <c:pt idx="22">
                  <c:v>37</c:v>
                </c:pt>
                <c:pt idx="23">
                  <c:v>36</c:v>
                </c:pt>
                <c:pt idx="24">
                  <c:v>88</c:v>
                </c:pt>
                <c:pt idx="25">
                  <c:v>55</c:v>
                </c:pt>
                <c:pt idx="26">
                  <c:v>42</c:v>
                </c:pt>
                <c:pt idx="27">
                  <c:v>49</c:v>
                </c:pt>
                <c:pt idx="28">
                  <c:v>48</c:v>
                </c:pt>
                <c:pt idx="29">
                  <c:v>39</c:v>
                </c:pt>
                <c:pt idx="30">
                  <c:v>68</c:v>
                </c:pt>
                <c:pt idx="31">
                  <c:v>78</c:v>
                </c:pt>
                <c:pt idx="32">
                  <c:v>64</c:v>
                </c:pt>
                <c:pt idx="33">
                  <c:v>38</c:v>
                </c:pt>
              </c:numCache>
            </c:numRef>
          </c:val>
          <c:smooth val="0"/>
          <c:extLst>
            <c:ext xmlns:c16="http://schemas.microsoft.com/office/drawing/2014/chart" uri="{C3380CC4-5D6E-409C-BE32-E72D297353CC}">
              <c16:uniqueId val="{0000000D-4B15-424B-809B-F128746D1764}"/>
            </c:ext>
          </c:extLst>
        </c:ser>
        <c:ser>
          <c:idx val="14"/>
          <c:order val="14"/>
          <c:tx>
            <c:strRef>
              <c:f>Stats!$D$23</c:f>
              <c:strCache>
                <c:ptCount val="1"/>
                <c:pt idx="0">
                  <c:v>SzoboSlay</c:v>
                </c:pt>
              </c:strCache>
            </c:strRef>
          </c:tx>
          <c:spPr>
            <a:ln w="28575" cap="rnd">
              <a:solidFill>
                <a:schemeClr val="accent3">
                  <a:lumMod val="80000"/>
                  <a:lumOff val="20000"/>
                </a:schemeClr>
              </a:solidFill>
              <a:round/>
            </a:ln>
            <a:effectLst/>
          </c:spPr>
          <c:marker>
            <c:symbol val="none"/>
          </c:marker>
          <c:cat>
            <c:strRef>
              <c:extLst>
                <c:ext xmlns:c15="http://schemas.microsoft.com/office/drawing/2012/chart" uri="{02D57815-91ED-43cb-92C2-25804820EDAC}">
                  <c15:fullRef>
                    <c15:sqref>Stats!$E$8:$AP$8</c15:sqref>
                  </c15:fullRef>
                </c:ext>
              </c:extLst>
              <c:f>Stats!$E$8:$AL$8</c:f>
              <c:strCache>
                <c:ptCount val="34"/>
                <c:pt idx="0">
                  <c:v>GW1</c:v>
                </c:pt>
                <c:pt idx="1">
                  <c:v>GW2</c:v>
                </c:pt>
                <c:pt idx="2">
                  <c:v>GW3</c:v>
                </c:pt>
                <c:pt idx="3">
                  <c:v>GW4</c:v>
                </c:pt>
                <c:pt idx="4">
                  <c:v>GW5</c:v>
                </c:pt>
                <c:pt idx="5">
                  <c:v>GW6</c:v>
                </c:pt>
                <c:pt idx="6">
                  <c:v>GW7</c:v>
                </c:pt>
                <c:pt idx="7">
                  <c:v>GW8</c:v>
                </c:pt>
                <c:pt idx="8">
                  <c:v>GW9</c:v>
                </c:pt>
                <c:pt idx="9">
                  <c:v>GW10</c:v>
                </c:pt>
                <c:pt idx="10">
                  <c:v>GW11</c:v>
                </c:pt>
                <c:pt idx="11">
                  <c:v>GW12</c:v>
                </c:pt>
                <c:pt idx="12">
                  <c:v>GW13</c:v>
                </c:pt>
                <c:pt idx="13">
                  <c:v>GW14</c:v>
                </c:pt>
                <c:pt idx="14">
                  <c:v>GW15</c:v>
                </c:pt>
                <c:pt idx="15">
                  <c:v>GW16</c:v>
                </c:pt>
                <c:pt idx="16">
                  <c:v>GW17</c:v>
                </c:pt>
                <c:pt idx="17">
                  <c:v>GW18</c:v>
                </c:pt>
                <c:pt idx="18">
                  <c:v>GW19</c:v>
                </c:pt>
                <c:pt idx="19">
                  <c:v>GW20</c:v>
                </c:pt>
                <c:pt idx="20">
                  <c:v>GW21</c:v>
                </c:pt>
                <c:pt idx="21">
                  <c:v>GW22</c:v>
                </c:pt>
                <c:pt idx="22">
                  <c:v>GW23</c:v>
                </c:pt>
                <c:pt idx="23">
                  <c:v>GW24</c:v>
                </c:pt>
                <c:pt idx="24">
                  <c:v>GW25</c:v>
                </c:pt>
                <c:pt idx="25">
                  <c:v>GW26</c:v>
                </c:pt>
                <c:pt idx="26">
                  <c:v>GW27</c:v>
                </c:pt>
                <c:pt idx="27">
                  <c:v>GW28</c:v>
                </c:pt>
                <c:pt idx="28">
                  <c:v>GW29</c:v>
                </c:pt>
                <c:pt idx="29">
                  <c:v>GW30</c:v>
                </c:pt>
                <c:pt idx="30">
                  <c:v>GW31</c:v>
                </c:pt>
                <c:pt idx="31">
                  <c:v>GW32</c:v>
                </c:pt>
                <c:pt idx="32">
                  <c:v>GW33</c:v>
                </c:pt>
                <c:pt idx="33">
                  <c:v>GW34</c:v>
                </c:pt>
              </c:strCache>
            </c:strRef>
          </c:cat>
          <c:val>
            <c:numRef>
              <c:extLst>
                <c:ext xmlns:c15="http://schemas.microsoft.com/office/drawing/2012/chart" uri="{02D57815-91ED-43cb-92C2-25804820EDAC}">
                  <c15:fullRef>
                    <c15:sqref>Stats!$E$23:$AP$23</c15:sqref>
                  </c15:fullRef>
                </c:ext>
              </c:extLst>
              <c:f>Stats!$E$23:$AL$23</c:f>
              <c:numCache>
                <c:formatCode>_-* #\ ##0_-;\-* #\ ##0_-;_-* "-"??_-;_-@_-</c:formatCode>
                <c:ptCount val="34"/>
                <c:pt idx="0">
                  <c:v>68</c:v>
                </c:pt>
                <c:pt idx="1">
                  <c:v>48</c:v>
                </c:pt>
                <c:pt idx="2">
                  <c:v>55</c:v>
                </c:pt>
                <c:pt idx="3">
                  <c:v>51</c:v>
                </c:pt>
                <c:pt idx="4">
                  <c:v>52</c:v>
                </c:pt>
                <c:pt idx="5">
                  <c:v>57</c:v>
                </c:pt>
                <c:pt idx="6">
                  <c:v>65</c:v>
                </c:pt>
                <c:pt idx="7">
                  <c:v>53</c:v>
                </c:pt>
                <c:pt idx="8">
                  <c:v>37</c:v>
                </c:pt>
                <c:pt idx="9">
                  <c:v>63</c:v>
                </c:pt>
                <c:pt idx="10">
                  <c:v>28</c:v>
                </c:pt>
                <c:pt idx="11">
                  <c:v>38</c:v>
                </c:pt>
                <c:pt idx="12">
                  <c:v>40</c:v>
                </c:pt>
                <c:pt idx="13">
                  <c:v>87</c:v>
                </c:pt>
                <c:pt idx="14">
                  <c:v>43</c:v>
                </c:pt>
                <c:pt idx="15">
                  <c:v>66</c:v>
                </c:pt>
                <c:pt idx="16">
                  <c:v>80</c:v>
                </c:pt>
                <c:pt idx="17">
                  <c:v>31</c:v>
                </c:pt>
                <c:pt idx="18">
                  <c:v>36</c:v>
                </c:pt>
                <c:pt idx="19">
                  <c:v>39</c:v>
                </c:pt>
                <c:pt idx="20">
                  <c:v>52</c:v>
                </c:pt>
                <c:pt idx="21">
                  <c:v>42</c:v>
                </c:pt>
                <c:pt idx="22">
                  <c:v>49</c:v>
                </c:pt>
                <c:pt idx="23">
                  <c:v>69</c:v>
                </c:pt>
                <c:pt idx="24">
                  <c:v>46</c:v>
                </c:pt>
                <c:pt idx="25">
                  <c:v>62</c:v>
                </c:pt>
                <c:pt idx="26">
                  <c:v>42</c:v>
                </c:pt>
                <c:pt idx="27">
                  <c:v>79</c:v>
                </c:pt>
                <c:pt idx="28">
                  <c:v>78</c:v>
                </c:pt>
                <c:pt idx="29">
                  <c:v>59</c:v>
                </c:pt>
                <c:pt idx="30">
                  <c:v>58</c:v>
                </c:pt>
                <c:pt idx="31">
                  <c:v>66</c:v>
                </c:pt>
                <c:pt idx="32">
                  <c:v>90</c:v>
                </c:pt>
                <c:pt idx="33">
                  <c:v>35</c:v>
                </c:pt>
              </c:numCache>
            </c:numRef>
          </c:val>
          <c:smooth val="0"/>
          <c:extLst>
            <c:ext xmlns:c16="http://schemas.microsoft.com/office/drawing/2014/chart" uri="{C3380CC4-5D6E-409C-BE32-E72D297353CC}">
              <c16:uniqueId val="{0000000E-4B15-424B-809B-F128746D1764}"/>
            </c:ext>
          </c:extLst>
        </c:ser>
        <c:ser>
          <c:idx val="15"/>
          <c:order val="15"/>
          <c:tx>
            <c:strRef>
              <c:f>Stats!$D$24</c:f>
              <c:strCache>
                <c:ptCount val="1"/>
                <c:pt idx="0">
                  <c:v>TAYDO FC</c:v>
                </c:pt>
              </c:strCache>
            </c:strRef>
          </c:tx>
          <c:spPr>
            <a:ln w="28575" cap="rnd">
              <a:solidFill>
                <a:schemeClr val="accent4">
                  <a:lumMod val="80000"/>
                  <a:lumOff val="20000"/>
                </a:schemeClr>
              </a:solidFill>
              <a:round/>
            </a:ln>
            <a:effectLst/>
          </c:spPr>
          <c:marker>
            <c:symbol val="none"/>
          </c:marker>
          <c:cat>
            <c:strRef>
              <c:extLst>
                <c:ext xmlns:c15="http://schemas.microsoft.com/office/drawing/2012/chart" uri="{02D57815-91ED-43cb-92C2-25804820EDAC}">
                  <c15:fullRef>
                    <c15:sqref>Stats!$E$8:$AP$8</c15:sqref>
                  </c15:fullRef>
                </c:ext>
              </c:extLst>
              <c:f>Stats!$E$8:$AL$8</c:f>
              <c:strCache>
                <c:ptCount val="34"/>
                <c:pt idx="0">
                  <c:v>GW1</c:v>
                </c:pt>
                <c:pt idx="1">
                  <c:v>GW2</c:v>
                </c:pt>
                <c:pt idx="2">
                  <c:v>GW3</c:v>
                </c:pt>
                <c:pt idx="3">
                  <c:v>GW4</c:v>
                </c:pt>
                <c:pt idx="4">
                  <c:v>GW5</c:v>
                </c:pt>
                <c:pt idx="5">
                  <c:v>GW6</c:v>
                </c:pt>
                <c:pt idx="6">
                  <c:v>GW7</c:v>
                </c:pt>
                <c:pt idx="7">
                  <c:v>GW8</c:v>
                </c:pt>
                <c:pt idx="8">
                  <c:v>GW9</c:v>
                </c:pt>
                <c:pt idx="9">
                  <c:v>GW10</c:v>
                </c:pt>
                <c:pt idx="10">
                  <c:v>GW11</c:v>
                </c:pt>
                <c:pt idx="11">
                  <c:v>GW12</c:v>
                </c:pt>
                <c:pt idx="12">
                  <c:v>GW13</c:v>
                </c:pt>
                <c:pt idx="13">
                  <c:v>GW14</c:v>
                </c:pt>
                <c:pt idx="14">
                  <c:v>GW15</c:v>
                </c:pt>
                <c:pt idx="15">
                  <c:v>GW16</c:v>
                </c:pt>
                <c:pt idx="16">
                  <c:v>GW17</c:v>
                </c:pt>
                <c:pt idx="17">
                  <c:v>GW18</c:v>
                </c:pt>
                <c:pt idx="18">
                  <c:v>GW19</c:v>
                </c:pt>
                <c:pt idx="19">
                  <c:v>GW20</c:v>
                </c:pt>
                <c:pt idx="20">
                  <c:v>GW21</c:v>
                </c:pt>
                <c:pt idx="21">
                  <c:v>GW22</c:v>
                </c:pt>
                <c:pt idx="22">
                  <c:v>GW23</c:v>
                </c:pt>
                <c:pt idx="23">
                  <c:v>GW24</c:v>
                </c:pt>
                <c:pt idx="24">
                  <c:v>GW25</c:v>
                </c:pt>
                <c:pt idx="25">
                  <c:v>GW26</c:v>
                </c:pt>
                <c:pt idx="26">
                  <c:v>GW27</c:v>
                </c:pt>
                <c:pt idx="27">
                  <c:v>GW28</c:v>
                </c:pt>
                <c:pt idx="28">
                  <c:v>GW29</c:v>
                </c:pt>
                <c:pt idx="29">
                  <c:v>GW30</c:v>
                </c:pt>
                <c:pt idx="30">
                  <c:v>GW31</c:v>
                </c:pt>
                <c:pt idx="31">
                  <c:v>GW32</c:v>
                </c:pt>
                <c:pt idx="32">
                  <c:v>GW33</c:v>
                </c:pt>
                <c:pt idx="33">
                  <c:v>GW34</c:v>
                </c:pt>
              </c:strCache>
            </c:strRef>
          </c:cat>
          <c:val>
            <c:numRef>
              <c:extLst>
                <c:ext xmlns:c15="http://schemas.microsoft.com/office/drawing/2012/chart" uri="{02D57815-91ED-43cb-92C2-25804820EDAC}">
                  <c15:fullRef>
                    <c15:sqref>Stats!$E$24:$AP$24</c15:sqref>
                  </c15:fullRef>
                </c:ext>
              </c:extLst>
              <c:f>Stats!$E$24:$AL$24</c:f>
              <c:numCache>
                <c:formatCode>_-* #\ ##0_-;\-* #\ ##0_-;_-* "-"??_-;_-@_-</c:formatCode>
                <c:ptCount val="34"/>
                <c:pt idx="0">
                  <c:v>55</c:v>
                </c:pt>
                <c:pt idx="1">
                  <c:v>52</c:v>
                </c:pt>
                <c:pt idx="2">
                  <c:v>45</c:v>
                </c:pt>
                <c:pt idx="3">
                  <c:v>87</c:v>
                </c:pt>
                <c:pt idx="4">
                  <c:v>37</c:v>
                </c:pt>
                <c:pt idx="5">
                  <c:v>29</c:v>
                </c:pt>
                <c:pt idx="6">
                  <c:v>65</c:v>
                </c:pt>
                <c:pt idx="7">
                  <c:v>67</c:v>
                </c:pt>
                <c:pt idx="8">
                  <c:v>53</c:v>
                </c:pt>
                <c:pt idx="9">
                  <c:v>53</c:v>
                </c:pt>
                <c:pt idx="10">
                  <c:v>41</c:v>
                </c:pt>
                <c:pt idx="11">
                  <c:v>30</c:v>
                </c:pt>
                <c:pt idx="12">
                  <c:v>43</c:v>
                </c:pt>
                <c:pt idx="13">
                  <c:v>69</c:v>
                </c:pt>
                <c:pt idx="14">
                  <c:v>52</c:v>
                </c:pt>
                <c:pt idx="15">
                  <c:v>61</c:v>
                </c:pt>
                <c:pt idx="16">
                  <c:v>94</c:v>
                </c:pt>
                <c:pt idx="17">
                  <c:v>36</c:v>
                </c:pt>
                <c:pt idx="18">
                  <c:v>42</c:v>
                </c:pt>
                <c:pt idx="19">
                  <c:v>63</c:v>
                </c:pt>
                <c:pt idx="20">
                  <c:v>63</c:v>
                </c:pt>
                <c:pt idx="21">
                  <c:v>37</c:v>
                </c:pt>
                <c:pt idx="22">
                  <c:v>46</c:v>
                </c:pt>
                <c:pt idx="23">
                  <c:v>54</c:v>
                </c:pt>
                <c:pt idx="24">
                  <c:v>93</c:v>
                </c:pt>
                <c:pt idx="25">
                  <c:v>52</c:v>
                </c:pt>
                <c:pt idx="26">
                  <c:v>37</c:v>
                </c:pt>
                <c:pt idx="27">
                  <c:v>61</c:v>
                </c:pt>
                <c:pt idx="28">
                  <c:v>57</c:v>
                </c:pt>
                <c:pt idx="29">
                  <c:v>41</c:v>
                </c:pt>
                <c:pt idx="30">
                  <c:v>33</c:v>
                </c:pt>
                <c:pt idx="31">
                  <c:v>52</c:v>
                </c:pt>
                <c:pt idx="32">
                  <c:v>107</c:v>
                </c:pt>
                <c:pt idx="33">
                  <c:v>61</c:v>
                </c:pt>
              </c:numCache>
            </c:numRef>
          </c:val>
          <c:smooth val="0"/>
          <c:extLst>
            <c:ext xmlns:c16="http://schemas.microsoft.com/office/drawing/2014/chart" uri="{C3380CC4-5D6E-409C-BE32-E72D297353CC}">
              <c16:uniqueId val="{0000000F-4B15-424B-809B-F128746D1764}"/>
            </c:ext>
          </c:extLst>
        </c:ser>
        <c:ser>
          <c:idx val="16"/>
          <c:order val="16"/>
          <c:tx>
            <c:strRef>
              <c:f>Stats!$D$25</c:f>
              <c:strCache>
                <c:ptCount val="1"/>
                <c:pt idx="0">
                  <c:v>Walala WaSalah</c:v>
                </c:pt>
              </c:strCache>
            </c:strRef>
          </c:tx>
          <c:spPr>
            <a:ln w="28575" cap="rnd">
              <a:solidFill>
                <a:schemeClr val="accent5">
                  <a:lumMod val="80000"/>
                  <a:lumOff val="20000"/>
                </a:schemeClr>
              </a:solidFill>
              <a:round/>
            </a:ln>
            <a:effectLst/>
          </c:spPr>
          <c:marker>
            <c:symbol val="none"/>
          </c:marker>
          <c:cat>
            <c:strRef>
              <c:extLst>
                <c:ext xmlns:c15="http://schemas.microsoft.com/office/drawing/2012/chart" uri="{02D57815-91ED-43cb-92C2-25804820EDAC}">
                  <c15:fullRef>
                    <c15:sqref>Stats!$E$8:$AP$8</c15:sqref>
                  </c15:fullRef>
                </c:ext>
              </c:extLst>
              <c:f>Stats!$E$8:$AL$8</c:f>
              <c:strCache>
                <c:ptCount val="34"/>
                <c:pt idx="0">
                  <c:v>GW1</c:v>
                </c:pt>
                <c:pt idx="1">
                  <c:v>GW2</c:v>
                </c:pt>
                <c:pt idx="2">
                  <c:v>GW3</c:v>
                </c:pt>
                <c:pt idx="3">
                  <c:v>GW4</c:v>
                </c:pt>
                <c:pt idx="4">
                  <c:v>GW5</c:v>
                </c:pt>
                <c:pt idx="5">
                  <c:v>GW6</c:v>
                </c:pt>
                <c:pt idx="6">
                  <c:v>GW7</c:v>
                </c:pt>
                <c:pt idx="7">
                  <c:v>GW8</c:v>
                </c:pt>
                <c:pt idx="8">
                  <c:v>GW9</c:v>
                </c:pt>
                <c:pt idx="9">
                  <c:v>GW10</c:v>
                </c:pt>
                <c:pt idx="10">
                  <c:v>GW11</c:v>
                </c:pt>
                <c:pt idx="11">
                  <c:v>GW12</c:v>
                </c:pt>
                <c:pt idx="12">
                  <c:v>GW13</c:v>
                </c:pt>
                <c:pt idx="13">
                  <c:v>GW14</c:v>
                </c:pt>
                <c:pt idx="14">
                  <c:v>GW15</c:v>
                </c:pt>
                <c:pt idx="15">
                  <c:v>GW16</c:v>
                </c:pt>
                <c:pt idx="16">
                  <c:v>GW17</c:v>
                </c:pt>
                <c:pt idx="17">
                  <c:v>GW18</c:v>
                </c:pt>
                <c:pt idx="18">
                  <c:v>GW19</c:v>
                </c:pt>
                <c:pt idx="19">
                  <c:v>GW20</c:v>
                </c:pt>
                <c:pt idx="20">
                  <c:v>GW21</c:v>
                </c:pt>
                <c:pt idx="21">
                  <c:v>GW22</c:v>
                </c:pt>
                <c:pt idx="22">
                  <c:v>GW23</c:v>
                </c:pt>
                <c:pt idx="23">
                  <c:v>GW24</c:v>
                </c:pt>
                <c:pt idx="24">
                  <c:v>GW25</c:v>
                </c:pt>
                <c:pt idx="25">
                  <c:v>GW26</c:v>
                </c:pt>
                <c:pt idx="26">
                  <c:v>GW27</c:v>
                </c:pt>
                <c:pt idx="27">
                  <c:v>GW28</c:v>
                </c:pt>
                <c:pt idx="28">
                  <c:v>GW29</c:v>
                </c:pt>
                <c:pt idx="29">
                  <c:v>GW30</c:v>
                </c:pt>
                <c:pt idx="30">
                  <c:v>GW31</c:v>
                </c:pt>
                <c:pt idx="31">
                  <c:v>GW32</c:v>
                </c:pt>
                <c:pt idx="32">
                  <c:v>GW33</c:v>
                </c:pt>
                <c:pt idx="33">
                  <c:v>GW34</c:v>
                </c:pt>
              </c:strCache>
            </c:strRef>
          </c:cat>
          <c:val>
            <c:numRef>
              <c:extLst>
                <c:ext xmlns:c15="http://schemas.microsoft.com/office/drawing/2012/chart" uri="{02D57815-91ED-43cb-92C2-25804820EDAC}">
                  <c15:fullRef>
                    <c15:sqref>Stats!$E$25:$AP$25</c15:sqref>
                  </c15:fullRef>
                </c:ext>
              </c:extLst>
              <c:f>Stats!$E$25:$AL$25</c:f>
              <c:numCache>
                <c:formatCode>_-* #\ ##0_-;\-* #\ ##0_-;_-* "-"??_-;_-@_-</c:formatCode>
                <c:ptCount val="34"/>
                <c:pt idx="0">
                  <c:v>66</c:v>
                </c:pt>
                <c:pt idx="1">
                  <c:v>54</c:v>
                </c:pt>
                <c:pt idx="2">
                  <c:v>46</c:v>
                </c:pt>
                <c:pt idx="3">
                  <c:v>78</c:v>
                </c:pt>
                <c:pt idx="4">
                  <c:v>66</c:v>
                </c:pt>
                <c:pt idx="5">
                  <c:v>59</c:v>
                </c:pt>
                <c:pt idx="6">
                  <c:v>58</c:v>
                </c:pt>
                <c:pt idx="7">
                  <c:v>60</c:v>
                </c:pt>
                <c:pt idx="8">
                  <c:v>40</c:v>
                </c:pt>
                <c:pt idx="9">
                  <c:v>78</c:v>
                </c:pt>
                <c:pt idx="10">
                  <c:v>45</c:v>
                </c:pt>
                <c:pt idx="11">
                  <c:v>37</c:v>
                </c:pt>
                <c:pt idx="12">
                  <c:v>40</c:v>
                </c:pt>
                <c:pt idx="13">
                  <c:v>73</c:v>
                </c:pt>
                <c:pt idx="14">
                  <c:v>57</c:v>
                </c:pt>
                <c:pt idx="15">
                  <c:v>62</c:v>
                </c:pt>
                <c:pt idx="16">
                  <c:v>77</c:v>
                </c:pt>
                <c:pt idx="17">
                  <c:v>45</c:v>
                </c:pt>
                <c:pt idx="18">
                  <c:v>32</c:v>
                </c:pt>
                <c:pt idx="19">
                  <c:v>51</c:v>
                </c:pt>
                <c:pt idx="20">
                  <c:v>62</c:v>
                </c:pt>
                <c:pt idx="21">
                  <c:v>39</c:v>
                </c:pt>
                <c:pt idx="22">
                  <c:v>38</c:v>
                </c:pt>
                <c:pt idx="23">
                  <c:v>64</c:v>
                </c:pt>
                <c:pt idx="24">
                  <c:v>65</c:v>
                </c:pt>
                <c:pt idx="25">
                  <c:v>63</c:v>
                </c:pt>
                <c:pt idx="26">
                  <c:v>42</c:v>
                </c:pt>
                <c:pt idx="27">
                  <c:v>77</c:v>
                </c:pt>
                <c:pt idx="28">
                  <c:v>74</c:v>
                </c:pt>
                <c:pt idx="29">
                  <c:v>49</c:v>
                </c:pt>
                <c:pt idx="30">
                  <c:v>52</c:v>
                </c:pt>
                <c:pt idx="31">
                  <c:v>58</c:v>
                </c:pt>
                <c:pt idx="32">
                  <c:v>109</c:v>
                </c:pt>
                <c:pt idx="33">
                  <c:v>56</c:v>
                </c:pt>
              </c:numCache>
            </c:numRef>
          </c:val>
          <c:smooth val="0"/>
          <c:extLst>
            <c:ext xmlns:c16="http://schemas.microsoft.com/office/drawing/2014/chart" uri="{C3380CC4-5D6E-409C-BE32-E72D297353CC}">
              <c16:uniqueId val="{00000010-4B15-424B-809B-F128746D1764}"/>
            </c:ext>
          </c:extLst>
        </c:ser>
        <c:dLbls>
          <c:showLegendKey val="0"/>
          <c:showVal val="0"/>
          <c:showCatName val="0"/>
          <c:showSerName val="0"/>
          <c:showPercent val="0"/>
          <c:showBubbleSize val="0"/>
        </c:dLbls>
        <c:smooth val="0"/>
        <c:axId val="1171484224"/>
        <c:axId val="1171480864"/>
      </c:lineChart>
      <c:catAx>
        <c:axId val="117148422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71480864"/>
        <c:crosses val="autoZero"/>
        <c:auto val="1"/>
        <c:lblAlgn val="ctr"/>
        <c:lblOffset val="100"/>
        <c:noMultiLvlLbl val="0"/>
      </c:catAx>
      <c:valAx>
        <c:axId val="1171480864"/>
        <c:scaling>
          <c:orientation val="minMax"/>
        </c:scaling>
        <c:delete val="0"/>
        <c:axPos val="l"/>
        <c:majorGridlines>
          <c:spPr>
            <a:ln w="9525" cap="flat" cmpd="sng" algn="ctr">
              <a:solidFill>
                <a:schemeClr val="tx1">
                  <a:lumMod val="15000"/>
                  <a:lumOff val="85000"/>
                </a:schemeClr>
              </a:solidFill>
              <a:round/>
            </a:ln>
            <a:effectLst/>
          </c:spPr>
        </c:majorGridlines>
        <c:numFmt formatCode="_-* #\ ##0_-;\-* #\ ##0_-;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71484224"/>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baseline="0">
                <a:ln>
                  <a:noFill/>
                </a:ln>
                <a:solidFill>
                  <a:schemeClr val="tx2"/>
                </a:solidFill>
                <a:latin typeface="+mn-lt"/>
                <a:ea typeface="+mn-ea"/>
                <a:cs typeface="+mn-cs"/>
              </a:defRPr>
            </a:pPr>
            <a:r>
              <a:rPr lang="en-ZA"/>
              <a:t>Last man paying 2.0</a:t>
            </a:r>
          </a:p>
        </c:rich>
      </c:tx>
      <c:overlay val="0"/>
      <c:spPr>
        <a:noFill/>
        <a:ln>
          <a:noFill/>
        </a:ln>
        <a:effectLst/>
      </c:spPr>
      <c:txPr>
        <a:bodyPr rot="0" spcFirstLastPara="1" vertOverflow="ellipsis" vert="horz" wrap="square" anchor="ctr" anchorCtr="1"/>
        <a:lstStyle/>
        <a:p>
          <a:pPr>
            <a:defRPr sz="1600" b="1" i="0" u="none" strike="noStrike" kern="1200" baseline="0">
              <a:ln>
                <a:noFill/>
              </a:ln>
              <a:solidFill>
                <a:schemeClr val="tx2"/>
              </a:solidFill>
              <a:latin typeface="+mn-lt"/>
              <a:ea typeface="+mn-ea"/>
              <a:cs typeface="+mn-cs"/>
            </a:defRPr>
          </a:pPr>
          <a:endParaRPr lang="en-US"/>
        </a:p>
      </c:txPr>
    </c:title>
    <c:autoTitleDeleted val="0"/>
    <c:plotArea>
      <c:layout/>
      <c:barChart>
        <c:barDir val="col"/>
        <c:grouping val="clustered"/>
        <c:varyColors val="1"/>
        <c:ser>
          <c:idx val="0"/>
          <c:order val="0"/>
          <c:invertIfNegative val="1"/>
          <c:dPt>
            <c:idx val="0"/>
            <c:invertIfNegative val="1"/>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CB0D-48B3-8AD7-20FFE43CBD4A}"/>
              </c:ext>
            </c:extLst>
          </c:dPt>
          <c:dPt>
            <c:idx val="1"/>
            <c:invertIfNegative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CB0D-48B3-8AD7-20FFE43CBD4A}"/>
              </c:ext>
            </c:extLst>
          </c:dPt>
          <c:dPt>
            <c:idx val="2"/>
            <c:invertIfNegative val="1"/>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CB0D-48B3-8AD7-20FFE43CBD4A}"/>
              </c:ext>
            </c:extLst>
          </c:dPt>
          <c:dPt>
            <c:idx val="3"/>
            <c:invertIfNegative val="1"/>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7-CB0D-48B3-8AD7-20FFE43CBD4A}"/>
              </c:ext>
            </c:extLst>
          </c:dPt>
          <c:dPt>
            <c:idx val="4"/>
            <c:invertIfNegative val="1"/>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9-CB0D-48B3-8AD7-20FFE43CBD4A}"/>
              </c:ext>
            </c:extLst>
          </c:dPt>
          <c:dPt>
            <c:idx val="5"/>
            <c:invertIfNegative val="1"/>
            <c:bubble3D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B-CB0D-48B3-8AD7-20FFE43CBD4A}"/>
              </c:ext>
            </c:extLst>
          </c:dPt>
          <c:dPt>
            <c:idx val="6"/>
            <c:invertIfNegative val="1"/>
            <c:bubble3D val="0"/>
            <c:spPr>
              <a:gradFill rotWithShape="1">
                <a:gsLst>
                  <a:gs pos="0">
                    <a:schemeClr val="accent1">
                      <a:lumMod val="60000"/>
                      <a:satMod val="103000"/>
                      <a:lumMod val="102000"/>
                      <a:tint val="94000"/>
                    </a:schemeClr>
                  </a:gs>
                  <a:gs pos="50000">
                    <a:schemeClr val="accent1">
                      <a:lumMod val="60000"/>
                      <a:satMod val="110000"/>
                      <a:lumMod val="100000"/>
                      <a:shade val="100000"/>
                    </a:schemeClr>
                  </a:gs>
                  <a:gs pos="100000">
                    <a:schemeClr val="accent1">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D-CB0D-48B3-8AD7-20FFE43CBD4A}"/>
              </c:ext>
            </c:extLst>
          </c:dPt>
          <c:dPt>
            <c:idx val="7"/>
            <c:invertIfNegative val="1"/>
            <c:bubble3D val="0"/>
            <c:spPr>
              <a:gradFill rotWithShape="1">
                <a:gsLst>
                  <a:gs pos="0">
                    <a:schemeClr val="accent2">
                      <a:lumMod val="60000"/>
                      <a:satMod val="103000"/>
                      <a:lumMod val="102000"/>
                      <a:tint val="94000"/>
                    </a:schemeClr>
                  </a:gs>
                  <a:gs pos="50000">
                    <a:schemeClr val="accent2">
                      <a:lumMod val="60000"/>
                      <a:satMod val="110000"/>
                      <a:lumMod val="100000"/>
                      <a:shade val="100000"/>
                    </a:schemeClr>
                  </a:gs>
                  <a:gs pos="100000">
                    <a:schemeClr val="accent2">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F-CB0D-48B3-8AD7-20FFE43CBD4A}"/>
              </c:ext>
            </c:extLst>
          </c:dPt>
          <c:dPt>
            <c:idx val="8"/>
            <c:invertIfNegative val="1"/>
            <c:bubble3D val="0"/>
            <c:spPr>
              <a:gradFill rotWithShape="1">
                <a:gsLst>
                  <a:gs pos="0">
                    <a:schemeClr val="accent3">
                      <a:lumMod val="60000"/>
                      <a:satMod val="103000"/>
                      <a:lumMod val="102000"/>
                      <a:tint val="94000"/>
                    </a:schemeClr>
                  </a:gs>
                  <a:gs pos="50000">
                    <a:schemeClr val="accent3">
                      <a:lumMod val="60000"/>
                      <a:satMod val="110000"/>
                      <a:lumMod val="100000"/>
                      <a:shade val="100000"/>
                    </a:schemeClr>
                  </a:gs>
                  <a:gs pos="100000">
                    <a:schemeClr val="accent3">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1-CB0D-48B3-8AD7-20FFE43CBD4A}"/>
              </c:ext>
            </c:extLst>
          </c:dPt>
          <c:dPt>
            <c:idx val="9"/>
            <c:invertIfNegative val="1"/>
            <c:bubble3D val="0"/>
            <c:spPr>
              <a:gradFill rotWithShape="1">
                <a:gsLst>
                  <a:gs pos="0">
                    <a:schemeClr val="accent4">
                      <a:lumMod val="60000"/>
                      <a:satMod val="103000"/>
                      <a:lumMod val="102000"/>
                      <a:tint val="94000"/>
                    </a:schemeClr>
                  </a:gs>
                  <a:gs pos="50000">
                    <a:schemeClr val="accent4">
                      <a:lumMod val="60000"/>
                      <a:satMod val="110000"/>
                      <a:lumMod val="100000"/>
                      <a:shade val="100000"/>
                    </a:schemeClr>
                  </a:gs>
                  <a:gs pos="100000">
                    <a:schemeClr val="accent4">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3-CB0D-48B3-8AD7-20FFE43CBD4A}"/>
              </c:ext>
            </c:extLst>
          </c:dPt>
          <c:dPt>
            <c:idx val="10"/>
            <c:invertIfNegative val="1"/>
            <c:bubble3D val="0"/>
            <c:spPr>
              <a:gradFill rotWithShape="1">
                <a:gsLst>
                  <a:gs pos="0">
                    <a:schemeClr val="accent5">
                      <a:lumMod val="60000"/>
                      <a:satMod val="103000"/>
                      <a:lumMod val="102000"/>
                      <a:tint val="94000"/>
                    </a:schemeClr>
                  </a:gs>
                  <a:gs pos="50000">
                    <a:schemeClr val="accent5">
                      <a:lumMod val="60000"/>
                      <a:satMod val="110000"/>
                      <a:lumMod val="100000"/>
                      <a:shade val="100000"/>
                    </a:schemeClr>
                  </a:gs>
                  <a:gs pos="100000">
                    <a:schemeClr val="accent5">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5-CB0D-48B3-8AD7-20FFE43CBD4A}"/>
              </c:ext>
            </c:extLst>
          </c:dPt>
          <c:dPt>
            <c:idx val="11"/>
            <c:invertIfNegative val="1"/>
            <c:bubble3D val="0"/>
            <c:spPr>
              <a:gradFill rotWithShape="1">
                <a:gsLst>
                  <a:gs pos="0">
                    <a:schemeClr val="accent6">
                      <a:lumMod val="60000"/>
                      <a:satMod val="103000"/>
                      <a:lumMod val="102000"/>
                      <a:tint val="94000"/>
                    </a:schemeClr>
                  </a:gs>
                  <a:gs pos="50000">
                    <a:schemeClr val="accent6">
                      <a:lumMod val="60000"/>
                      <a:satMod val="110000"/>
                      <a:lumMod val="100000"/>
                      <a:shade val="100000"/>
                    </a:schemeClr>
                  </a:gs>
                  <a:gs pos="100000">
                    <a:schemeClr val="accent6">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7-CB0D-48B3-8AD7-20FFE43CBD4A}"/>
              </c:ext>
            </c:extLst>
          </c:dPt>
          <c:dPt>
            <c:idx val="12"/>
            <c:invertIfNegative val="1"/>
            <c:bubble3D val="0"/>
            <c:spPr>
              <a:gradFill rotWithShape="1">
                <a:gsLst>
                  <a:gs pos="0">
                    <a:schemeClr val="accent1">
                      <a:lumMod val="80000"/>
                      <a:lumOff val="20000"/>
                      <a:satMod val="103000"/>
                      <a:lumMod val="102000"/>
                      <a:tint val="94000"/>
                    </a:schemeClr>
                  </a:gs>
                  <a:gs pos="50000">
                    <a:schemeClr val="accent1">
                      <a:lumMod val="80000"/>
                      <a:lumOff val="20000"/>
                      <a:satMod val="110000"/>
                      <a:lumMod val="100000"/>
                      <a:shade val="100000"/>
                    </a:schemeClr>
                  </a:gs>
                  <a:gs pos="100000">
                    <a:schemeClr val="accent1">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9-CB0D-48B3-8AD7-20FFE43CBD4A}"/>
              </c:ext>
            </c:extLst>
          </c:dPt>
          <c:dPt>
            <c:idx val="13"/>
            <c:invertIfNegative val="1"/>
            <c:bubble3D val="0"/>
            <c:spPr>
              <a:gradFill rotWithShape="1">
                <a:gsLst>
                  <a:gs pos="0">
                    <a:schemeClr val="accent2">
                      <a:lumMod val="80000"/>
                      <a:lumOff val="20000"/>
                      <a:satMod val="103000"/>
                      <a:lumMod val="102000"/>
                      <a:tint val="94000"/>
                    </a:schemeClr>
                  </a:gs>
                  <a:gs pos="50000">
                    <a:schemeClr val="accent2">
                      <a:lumMod val="80000"/>
                      <a:lumOff val="20000"/>
                      <a:satMod val="110000"/>
                      <a:lumMod val="100000"/>
                      <a:shade val="100000"/>
                    </a:schemeClr>
                  </a:gs>
                  <a:gs pos="100000">
                    <a:schemeClr val="accent2">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B-CB0D-48B3-8AD7-20FFE43CBD4A}"/>
              </c:ext>
            </c:extLst>
          </c:dPt>
          <c:dPt>
            <c:idx val="14"/>
            <c:invertIfNegative val="1"/>
            <c:bubble3D val="0"/>
            <c:spPr>
              <a:gradFill rotWithShape="1">
                <a:gsLst>
                  <a:gs pos="0">
                    <a:schemeClr val="accent3">
                      <a:lumMod val="80000"/>
                      <a:lumOff val="20000"/>
                      <a:satMod val="103000"/>
                      <a:lumMod val="102000"/>
                      <a:tint val="94000"/>
                    </a:schemeClr>
                  </a:gs>
                  <a:gs pos="50000">
                    <a:schemeClr val="accent3">
                      <a:lumMod val="80000"/>
                      <a:lumOff val="20000"/>
                      <a:satMod val="110000"/>
                      <a:lumMod val="100000"/>
                      <a:shade val="100000"/>
                    </a:schemeClr>
                  </a:gs>
                  <a:gs pos="100000">
                    <a:schemeClr val="accent3">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D-CB0D-48B3-8AD7-20FFE43CBD4A}"/>
              </c:ext>
            </c:extLst>
          </c:dPt>
          <c:dPt>
            <c:idx val="15"/>
            <c:invertIfNegative val="1"/>
            <c:bubble3D val="0"/>
            <c:spPr>
              <a:gradFill rotWithShape="1">
                <a:gsLst>
                  <a:gs pos="0">
                    <a:schemeClr val="accent4">
                      <a:lumMod val="80000"/>
                      <a:lumOff val="20000"/>
                      <a:satMod val="103000"/>
                      <a:lumMod val="102000"/>
                      <a:tint val="94000"/>
                    </a:schemeClr>
                  </a:gs>
                  <a:gs pos="50000">
                    <a:schemeClr val="accent4">
                      <a:lumMod val="80000"/>
                      <a:lumOff val="20000"/>
                      <a:satMod val="110000"/>
                      <a:lumMod val="100000"/>
                      <a:shade val="100000"/>
                    </a:schemeClr>
                  </a:gs>
                  <a:gs pos="100000">
                    <a:schemeClr val="accent4">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F-CB0D-48B3-8AD7-20FFE43CBD4A}"/>
              </c:ext>
            </c:extLst>
          </c:dPt>
          <c:dPt>
            <c:idx val="16"/>
            <c:invertIfNegative val="1"/>
            <c:bubble3D val="0"/>
            <c:spPr>
              <a:gradFill rotWithShape="1">
                <a:gsLst>
                  <a:gs pos="0">
                    <a:schemeClr val="accent5">
                      <a:lumMod val="80000"/>
                      <a:lumOff val="20000"/>
                      <a:satMod val="103000"/>
                      <a:lumMod val="102000"/>
                      <a:tint val="94000"/>
                    </a:schemeClr>
                  </a:gs>
                  <a:gs pos="50000">
                    <a:schemeClr val="accent5">
                      <a:lumMod val="80000"/>
                      <a:lumOff val="20000"/>
                      <a:satMod val="110000"/>
                      <a:lumMod val="100000"/>
                      <a:shade val="100000"/>
                    </a:schemeClr>
                  </a:gs>
                  <a:gs pos="100000">
                    <a:schemeClr val="accent5">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21-CB0D-48B3-8AD7-20FFE43CBD4A}"/>
              </c:ext>
            </c:extLst>
          </c:dPt>
          <c:cat>
            <c:strRef>
              <c:f>Budget!$B$9:$B$25</c:f>
              <c:strCache>
                <c:ptCount val="17"/>
                <c:pt idx="0">
                  <c:v>Learnmore Ntshangase</c:v>
                </c:pt>
                <c:pt idx="1">
                  <c:v>Fanele Msweli</c:v>
                </c:pt>
                <c:pt idx="2">
                  <c:v>Lethu Mkhwanazi</c:v>
                </c:pt>
                <c:pt idx="3">
                  <c:v>Mhlengi Kunene</c:v>
                </c:pt>
                <c:pt idx="4">
                  <c:v>Minenhle Khumalo</c:v>
                </c:pt>
                <c:pt idx="5">
                  <c:v>Nhlakanipho Ntombela</c:v>
                </c:pt>
                <c:pt idx="6">
                  <c:v>Mtho Mabizela</c:v>
                </c:pt>
                <c:pt idx="7">
                  <c:v>Siyanda Ndaba</c:v>
                </c:pt>
                <c:pt idx="8">
                  <c:v>President Gamede</c:v>
                </c:pt>
                <c:pt idx="9">
                  <c:v>Luthando Ngidi</c:v>
                </c:pt>
                <c:pt idx="10">
                  <c:v>Kudzai Kupeta</c:v>
                </c:pt>
                <c:pt idx="11">
                  <c:v>Thembalethu Miya</c:v>
                </c:pt>
                <c:pt idx="12">
                  <c:v>Nkosi The Chef</c:v>
                </c:pt>
                <c:pt idx="13">
                  <c:v>Sthe Coqueto</c:v>
                </c:pt>
                <c:pt idx="14">
                  <c:v>Bheka Bhengu</c:v>
                </c:pt>
                <c:pt idx="15">
                  <c:v>Thato Choshi</c:v>
                </c:pt>
                <c:pt idx="16">
                  <c:v>Mbuyi Katumba</c:v>
                </c:pt>
              </c:strCache>
            </c:strRef>
          </c:cat>
          <c:val>
            <c:numRef>
              <c:f>Budget!$G$9:$G$25</c:f>
              <c:numCache>
                <c:formatCode>[$R]#\ ##0.00</c:formatCode>
                <c:ptCount val="17"/>
                <c:pt idx="0">
                  <c:v>1350</c:v>
                </c:pt>
                <c:pt idx="1">
                  <c:v>1250</c:v>
                </c:pt>
                <c:pt idx="2">
                  <c:v>1050</c:v>
                </c:pt>
                <c:pt idx="3">
                  <c:v>550</c:v>
                </c:pt>
                <c:pt idx="4">
                  <c:v>1450</c:v>
                </c:pt>
                <c:pt idx="5">
                  <c:v>650</c:v>
                </c:pt>
                <c:pt idx="6">
                  <c:v>950</c:v>
                </c:pt>
                <c:pt idx="7">
                  <c:v>1050</c:v>
                </c:pt>
                <c:pt idx="8">
                  <c:v>2150</c:v>
                </c:pt>
                <c:pt idx="9">
                  <c:v>650</c:v>
                </c:pt>
                <c:pt idx="10">
                  <c:v>1050</c:v>
                </c:pt>
                <c:pt idx="11">
                  <c:v>1250</c:v>
                </c:pt>
                <c:pt idx="12">
                  <c:v>450</c:v>
                </c:pt>
                <c:pt idx="13">
                  <c:v>1550</c:v>
                </c:pt>
                <c:pt idx="14">
                  <c:v>1350</c:v>
                </c:pt>
                <c:pt idx="15">
                  <c:v>1150</c:v>
                </c:pt>
                <c:pt idx="16">
                  <c:v>250</c:v>
                </c:pt>
              </c:numCache>
            </c:numRef>
          </c:val>
          <c:extLst>
            <c:ext xmlns:c16="http://schemas.microsoft.com/office/drawing/2014/chart" uri="{C3380CC4-5D6E-409C-BE32-E72D297353CC}">
              <c16:uniqueId val="{00000000-5D29-4EB3-B6A5-BB3907575F9F}"/>
            </c:ext>
          </c:extLst>
        </c:ser>
        <c:dLbls>
          <c:showLegendKey val="0"/>
          <c:showVal val="0"/>
          <c:showCatName val="0"/>
          <c:showSerName val="0"/>
          <c:showPercent val="0"/>
          <c:showBubbleSize val="0"/>
        </c:dLbls>
        <c:gapWidth val="100"/>
        <c:overlap val="-24"/>
        <c:axId val="1044144712"/>
        <c:axId val="1431322941"/>
      </c:barChart>
      <c:catAx>
        <c:axId val="1044144712"/>
        <c:scaling>
          <c:orientation val="minMax"/>
        </c:scaling>
        <c:delete val="0"/>
        <c:axPos val="b"/>
        <c:title>
          <c:tx>
            <c:rich>
              <a:bodyPr rot="0" spcFirstLastPara="1" vertOverflow="ellipsis" vert="horz" wrap="square" anchor="ctr" anchorCtr="1"/>
              <a:lstStyle/>
              <a:p>
                <a:pPr>
                  <a:defRPr sz="900" b="0" i="0" u="none" strike="noStrike" kern="1200" baseline="0">
                    <a:ln>
                      <a:noFill/>
                    </a:ln>
                    <a:solidFill>
                      <a:schemeClr val="tx2"/>
                    </a:solidFill>
                    <a:latin typeface="+mn-lt"/>
                    <a:ea typeface="+mn-ea"/>
                    <a:cs typeface="+mn-cs"/>
                  </a:defRPr>
                </a:pPr>
                <a:r>
                  <a:rPr lang="en-ZA"/>
                  <a:t>Loser</a:t>
                </a:r>
              </a:p>
            </c:rich>
          </c:tx>
          <c:overlay val="0"/>
          <c:spPr>
            <a:noFill/>
            <a:ln>
              <a:noFill/>
            </a:ln>
            <a:effectLst/>
          </c:spPr>
          <c:txPr>
            <a:bodyPr rot="0" spcFirstLastPara="1" vertOverflow="ellipsis" vert="horz" wrap="square" anchor="ctr" anchorCtr="1"/>
            <a:lstStyle/>
            <a:p>
              <a:pPr>
                <a:defRPr sz="900" b="0" i="0" u="none" strike="noStrike" kern="1200" baseline="0">
                  <a:ln>
                    <a:noFill/>
                  </a:ln>
                  <a:solidFill>
                    <a:schemeClr val="tx2"/>
                  </a:solidFill>
                  <a:latin typeface="+mn-lt"/>
                  <a:ea typeface="+mn-ea"/>
                  <a:cs typeface="+mn-cs"/>
                </a:defRPr>
              </a:pPr>
              <a:endParaRPr lang="en-US"/>
            </a:p>
          </c:txPr>
        </c:title>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ln>
                  <a:noFill/>
                </a:ln>
                <a:solidFill>
                  <a:schemeClr val="tx2"/>
                </a:solidFill>
                <a:latin typeface="+mn-lt"/>
                <a:ea typeface="+mn-ea"/>
                <a:cs typeface="+mn-cs"/>
              </a:defRPr>
            </a:pPr>
            <a:endParaRPr lang="en-US"/>
          </a:p>
        </c:txPr>
        <c:crossAx val="1431322941"/>
        <c:crosses val="autoZero"/>
        <c:auto val="1"/>
        <c:lblAlgn val="ctr"/>
        <c:lblOffset val="100"/>
        <c:noMultiLvlLbl val="1"/>
      </c:catAx>
      <c:valAx>
        <c:axId val="1431322941"/>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900" b="0" i="0" u="none" strike="noStrike" kern="1200" baseline="0">
                    <a:ln>
                      <a:noFill/>
                    </a:ln>
                    <a:solidFill>
                      <a:schemeClr val="tx2"/>
                    </a:solidFill>
                    <a:latin typeface="+mn-lt"/>
                    <a:ea typeface="+mn-ea"/>
                    <a:cs typeface="+mn-cs"/>
                  </a:defRPr>
                </a:pPr>
                <a:r>
                  <a:rPr lang="en-ZA"/>
                  <a:t>Amount owing</a:t>
                </a:r>
              </a:p>
            </c:rich>
          </c:tx>
          <c:overlay val="0"/>
          <c:spPr>
            <a:noFill/>
            <a:ln>
              <a:noFill/>
            </a:ln>
            <a:effectLst/>
          </c:spPr>
          <c:txPr>
            <a:bodyPr rot="-5400000" spcFirstLastPara="1" vertOverflow="ellipsis" vert="horz" wrap="square" anchor="ctr" anchorCtr="1"/>
            <a:lstStyle/>
            <a:p>
              <a:pPr>
                <a:defRPr sz="900" b="0" i="0" u="none" strike="noStrike" kern="1200" baseline="0">
                  <a:ln>
                    <a:noFill/>
                  </a:ln>
                  <a:solidFill>
                    <a:schemeClr val="tx2"/>
                  </a:solidFill>
                  <a:latin typeface="+mn-lt"/>
                  <a:ea typeface="+mn-ea"/>
                  <a:cs typeface="+mn-cs"/>
                </a:defRPr>
              </a:pPr>
              <a:endParaRPr lang="en-US"/>
            </a:p>
          </c:txPr>
        </c:title>
        <c:numFmt formatCode="[$R]#\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ln>
                  <a:noFill/>
                </a:ln>
                <a:solidFill>
                  <a:schemeClr val="tx2"/>
                </a:solidFill>
                <a:latin typeface="+mn-lt"/>
                <a:ea typeface="+mn-ea"/>
                <a:cs typeface="+mn-cs"/>
              </a:defRPr>
            </a:pPr>
            <a:endParaRPr lang="en-US"/>
          </a:p>
        </c:txPr>
        <c:crossAx val="1044144712"/>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ln>
                <a:noFill/>
              </a:ln>
              <a:solidFill>
                <a:schemeClr val="tx2"/>
              </a:solidFill>
              <a:latin typeface="+mn-lt"/>
              <a:ea typeface="+mn-ea"/>
              <a:cs typeface="+mn-cs"/>
            </a:defRPr>
          </a:pPr>
          <a:endParaRPr lang="en-US"/>
        </a:p>
      </c:txPr>
    </c:legend>
    <c:plotVisOnly val="1"/>
    <c:dispBlanksAs val="zero"/>
    <c:showDLblsOverMax val="1"/>
  </c:chart>
  <c:spPr>
    <a:solidFill>
      <a:schemeClr val="bg1"/>
    </a:solidFill>
    <a:ln w="9525" cap="flat" cmpd="sng" algn="ctr">
      <a:solidFill>
        <a:schemeClr val="tx1">
          <a:lumMod val="15000"/>
          <a:lumOff val="85000"/>
        </a:schemeClr>
      </a:solidFill>
      <a:round/>
    </a:ln>
    <a:effectLst/>
  </c:spPr>
  <c:txPr>
    <a:bodyPr/>
    <a:lstStyle/>
    <a:p>
      <a:pPr>
        <a:defRPr>
          <a:ln>
            <a:noFill/>
          </a:ln>
          <a:solidFill>
            <a:schemeClr val="tx2"/>
          </a:solidFill>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2.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1" Type="http://schemas.openxmlformats.org/officeDocument/2006/relationships/image" Target="../media/image1.jpeg"/></Relationships>
</file>

<file path=xl/drawings/_rels/drawing4.xml.rels><?xml version="1.0" encoding="UTF-8" standalone="yes"?>
<Relationships xmlns="http://schemas.openxmlformats.org/package/2006/relationships"><Relationship Id="rId2" Type="http://schemas.openxmlformats.org/officeDocument/2006/relationships/image" Target="../media/image1.jpeg"/><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1" Type="http://schemas.openxmlformats.org/officeDocument/2006/relationships/image" Target="../media/image1.jpeg"/></Relationships>
</file>

<file path=xl/drawings/_rels/drawing6.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1</xdr:col>
      <xdr:colOff>19050</xdr:colOff>
      <xdr:row>0</xdr:row>
      <xdr:rowOff>9525</xdr:rowOff>
    </xdr:from>
    <xdr:to>
      <xdr:col>1</xdr:col>
      <xdr:colOff>914400</xdr:colOff>
      <xdr:row>7</xdr:row>
      <xdr:rowOff>38100</xdr:rowOff>
    </xdr:to>
    <xdr:pic>
      <xdr:nvPicPr>
        <xdr:cNvPr id="2" name="Picture 1" descr="FPL - playlist by Premier League | Spotify">
          <a:extLst>
            <a:ext uri="{FF2B5EF4-FFF2-40B4-BE49-F238E27FC236}">
              <a16:creationId xmlns:a16="http://schemas.microsoft.com/office/drawing/2014/main" id="{B03B1922-2939-4D19-A28C-3A9D4716A81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4300" y="9525"/>
          <a:ext cx="895350" cy="895350"/>
        </a:xfrm>
        <a:prstGeom prst="rect">
          <a:avLst/>
        </a:prstGeom>
        <a:ln>
          <a:noFill/>
        </a:ln>
        <a:effectLst>
          <a:softEdge rad="112500"/>
        </a:effectLst>
        <a:extLst>
          <a:ext uri="{909E8E84-426E-40DD-AFC4-6F175D3DCCD1}">
            <a14:hiddenFill xmlns:a14="http://schemas.microsoft.com/office/drawing/2010/main">
              <a:solidFill>
                <a:srgbClr val="FFFFFF"/>
              </a:solidFill>
            </a14:hiddenFill>
          </a:ext>
        </a:extLst>
      </xdr:spPr>
    </xdr:pic>
    <xdr:clientData/>
  </xdr:twoCellAnchor>
</xdr:wsDr>
</file>

<file path=xl/drawings/drawing2.xml><?xml version="1.0" encoding="utf-8"?>
<xdr:wsDr xmlns:xdr="http://schemas.openxmlformats.org/drawingml/2006/spreadsheetDrawing" xmlns:a="http://schemas.openxmlformats.org/drawingml/2006/main">
  <xdr:twoCellAnchor>
    <xdr:from>
      <xdr:col>1</xdr:col>
      <xdr:colOff>28575</xdr:colOff>
      <xdr:row>1</xdr:row>
      <xdr:rowOff>38099</xdr:rowOff>
    </xdr:from>
    <xdr:to>
      <xdr:col>15</xdr:col>
      <xdr:colOff>666750</xdr:colOff>
      <xdr:row>35</xdr:row>
      <xdr:rowOff>161924</xdr:rowOff>
    </xdr:to>
    <xdr:graphicFrame macro="">
      <xdr:nvGraphicFramePr>
        <xdr:cNvPr id="3" name="Chart 2">
          <a:extLst>
            <a:ext uri="{FF2B5EF4-FFF2-40B4-BE49-F238E27FC236}">
              <a16:creationId xmlns:a16="http://schemas.microsoft.com/office/drawing/2014/main" id="{DD81E057-B9CF-4902-8589-A08C9073AF3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15</xdr:col>
      <xdr:colOff>819150</xdr:colOff>
      <xdr:row>1</xdr:row>
      <xdr:rowOff>57150</xdr:rowOff>
    </xdr:from>
    <xdr:to>
      <xdr:col>21</xdr:col>
      <xdr:colOff>361950</xdr:colOff>
      <xdr:row>17</xdr:row>
      <xdr:rowOff>47625</xdr:rowOff>
    </xdr:to>
    <xdr:graphicFrame macro="">
      <xdr:nvGraphicFramePr>
        <xdr:cNvPr id="4" name="Chart 3">
          <a:extLst>
            <a:ext uri="{FF2B5EF4-FFF2-40B4-BE49-F238E27FC236}">
              <a16:creationId xmlns:a16="http://schemas.microsoft.com/office/drawing/2014/main" id="{85DC9607-1FB9-45FD-91D6-06C0FA0AB8BA}"/>
            </a:ext>
            <a:ext uri="{147F2762-F138-4A5C-976F-8EAC2B608ADB}">
              <a16:predDERef xmlns:a16="http://schemas.microsoft.com/office/drawing/2014/main" pred="{DD81E057-B9CF-4902-8589-A08C9073AF3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15</xdr:col>
      <xdr:colOff>828675</xdr:colOff>
      <xdr:row>17</xdr:row>
      <xdr:rowOff>142875</xdr:rowOff>
    </xdr:from>
    <xdr:to>
      <xdr:col>30</xdr:col>
      <xdr:colOff>800100</xdr:colOff>
      <xdr:row>54</xdr:row>
      <xdr:rowOff>85725</xdr:rowOff>
    </xdr:to>
    <xdr:graphicFrame macro="">
      <xdr:nvGraphicFramePr>
        <xdr:cNvPr id="2" name="Chart 1">
          <a:extLst>
            <a:ext uri="{FF2B5EF4-FFF2-40B4-BE49-F238E27FC236}">
              <a16:creationId xmlns:a16="http://schemas.microsoft.com/office/drawing/2014/main" id="{382E438F-1195-478B-8318-53E2941D067B}"/>
            </a:ext>
            <a:ext uri="{147F2762-F138-4A5C-976F-8EAC2B608ADB}">
              <a16:predDERef xmlns:a16="http://schemas.microsoft.com/office/drawing/2014/main" pred="{85DC9607-1FB9-45FD-91D6-06C0FA0AB8B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180975</xdr:colOff>
      <xdr:row>0</xdr:row>
      <xdr:rowOff>95250</xdr:rowOff>
    </xdr:from>
    <xdr:to>
      <xdr:col>2</xdr:col>
      <xdr:colOff>809625</xdr:colOff>
      <xdr:row>6</xdr:row>
      <xdr:rowOff>133350</xdr:rowOff>
    </xdr:to>
    <xdr:pic>
      <xdr:nvPicPr>
        <xdr:cNvPr id="2" name="Picture 1" descr="FPL - playlist by Premier League | Spotify">
          <a:extLst>
            <a:ext uri="{FF2B5EF4-FFF2-40B4-BE49-F238E27FC236}">
              <a16:creationId xmlns:a16="http://schemas.microsoft.com/office/drawing/2014/main" id="{CDAEF692-3320-4C81-971B-7B62D4CFFAF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33375" y="95250"/>
          <a:ext cx="895350" cy="895350"/>
        </a:xfrm>
        <a:prstGeom prst="rect">
          <a:avLst/>
        </a:prstGeom>
        <a:ln>
          <a:noFill/>
        </a:ln>
        <a:effectLst>
          <a:softEdge rad="112500"/>
        </a:effectLst>
        <a:extLst>
          <a:ext uri="{909E8E84-426E-40DD-AFC4-6F175D3DCCD1}">
            <a14:hiddenFill xmlns:a14="http://schemas.microsoft.com/office/drawing/2010/main">
              <a:solidFill>
                <a:srgbClr val="FFFFFF"/>
              </a:solidFill>
            </a14:hiddenFill>
          </a:ext>
        </a:extLst>
      </xdr:spPr>
    </xdr:pic>
    <xdr:clientData/>
  </xdr:twoCellAnchor>
</xdr:wsDr>
</file>

<file path=xl/drawings/drawing4.xml><?xml version="1.0" encoding="utf-8"?>
<xdr:wsDr xmlns:xdr="http://schemas.openxmlformats.org/drawingml/2006/spreadsheetDrawing" xmlns:a="http://schemas.openxmlformats.org/drawingml/2006/main">
  <xdr:oneCellAnchor>
    <xdr:from>
      <xdr:col>9</xdr:col>
      <xdr:colOff>781050</xdr:colOff>
      <xdr:row>8</xdr:row>
      <xdr:rowOff>47625</xdr:rowOff>
    </xdr:from>
    <xdr:ext cx="9639300" cy="5162550"/>
    <xdr:graphicFrame macro="">
      <xdr:nvGraphicFramePr>
        <xdr:cNvPr id="4" name="Chart 1" title="Chart">
          <a:extLst>
            <a:ext uri="{FF2B5EF4-FFF2-40B4-BE49-F238E27FC236}">
              <a16:creationId xmlns:a16="http://schemas.microsoft.com/office/drawing/2014/main" id="{00000000-0008-0000-03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fLocksWithSheet="0"/>
  </xdr:oneCellAnchor>
  <xdr:twoCellAnchor editAs="oneCell">
    <xdr:from>
      <xdr:col>1</xdr:col>
      <xdr:colOff>0</xdr:colOff>
      <xdr:row>0</xdr:row>
      <xdr:rowOff>0</xdr:rowOff>
    </xdr:from>
    <xdr:to>
      <xdr:col>1</xdr:col>
      <xdr:colOff>895350</xdr:colOff>
      <xdr:row>6</xdr:row>
      <xdr:rowOff>38100</xdr:rowOff>
    </xdr:to>
    <xdr:pic>
      <xdr:nvPicPr>
        <xdr:cNvPr id="3" name="Picture 2" descr="FPL - playlist by Premier League | Spotify">
          <a:extLst>
            <a:ext uri="{FF2B5EF4-FFF2-40B4-BE49-F238E27FC236}">
              <a16:creationId xmlns:a16="http://schemas.microsoft.com/office/drawing/2014/main" id="{0FD34252-D3EC-42C4-A51C-37397EFD383A}"/>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161925" y="0"/>
          <a:ext cx="895350" cy="895350"/>
        </a:xfrm>
        <a:prstGeom prst="rect">
          <a:avLst/>
        </a:prstGeom>
        <a:ln>
          <a:noFill/>
        </a:ln>
        <a:effectLst>
          <a:softEdge rad="112500"/>
        </a:effectLst>
        <a:extLst>
          <a:ext uri="{909E8E84-426E-40DD-AFC4-6F175D3DCCD1}">
            <a14:hiddenFill xmlns:a14="http://schemas.microsoft.com/office/drawing/2010/main">
              <a:solidFill>
                <a:srgbClr val="FFFFFF"/>
              </a:solidFill>
            </a14:hiddenFill>
          </a:ext>
        </a:extLst>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1</xdr:col>
      <xdr:colOff>95250</xdr:colOff>
      <xdr:row>0</xdr:row>
      <xdr:rowOff>28575</xdr:rowOff>
    </xdr:from>
    <xdr:to>
      <xdr:col>2</xdr:col>
      <xdr:colOff>152400</xdr:colOff>
      <xdr:row>6</xdr:row>
      <xdr:rowOff>66675</xdr:rowOff>
    </xdr:to>
    <xdr:pic>
      <xdr:nvPicPr>
        <xdr:cNvPr id="2" name="Picture 1" descr="FPL - playlist by Premier League | Spotify">
          <a:extLst>
            <a:ext uri="{FF2B5EF4-FFF2-40B4-BE49-F238E27FC236}">
              <a16:creationId xmlns:a16="http://schemas.microsoft.com/office/drawing/2014/main" id="{BF3207E8-BECD-3E5A-CA25-14FD2426039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66700" y="28575"/>
          <a:ext cx="895350" cy="895350"/>
        </a:xfrm>
        <a:prstGeom prst="rect">
          <a:avLst/>
        </a:prstGeom>
        <a:ln>
          <a:noFill/>
        </a:ln>
        <a:effectLst>
          <a:softEdge rad="112500"/>
        </a:effectLst>
        <a:extLst>
          <a:ext uri="{909E8E84-426E-40DD-AFC4-6F175D3DCCD1}">
            <a14:hiddenFill xmlns:a14="http://schemas.microsoft.com/office/drawing/2010/main">
              <a:solidFill>
                <a:srgbClr val="FFFFFF"/>
              </a:solidFill>
            </a14:hiddenFill>
          </a:ext>
        </a:extLst>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1</xdr:col>
      <xdr:colOff>180975</xdr:colOff>
      <xdr:row>0</xdr:row>
      <xdr:rowOff>95250</xdr:rowOff>
    </xdr:from>
    <xdr:to>
      <xdr:col>2</xdr:col>
      <xdr:colOff>809625</xdr:colOff>
      <xdr:row>6</xdr:row>
      <xdr:rowOff>133350</xdr:rowOff>
    </xdr:to>
    <xdr:pic>
      <xdr:nvPicPr>
        <xdr:cNvPr id="2" name="Picture 1" descr="FPL - playlist by Premier League | Spotify">
          <a:extLst>
            <a:ext uri="{FF2B5EF4-FFF2-40B4-BE49-F238E27FC236}">
              <a16:creationId xmlns:a16="http://schemas.microsoft.com/office/drawing/2014/main" id="{B4D29D61-70B5-4295-8E36-08C0F2E3267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33375" y="95250"/>
          <a:ext cx="895350" cy="895350"/>
        </a:xfrm>
        <a:prstGeom prst="rect">
          <a:avLst/>
        </a:prstGeom>
        <a:ln>
          <a:noFill/>
        </a:ln>
        <a:effectLst>
          <a:softEdge rad="112500"/>
        </a:effectLst>
        <a:extLst>
          <a:ext uri="{909E8E84-426E-40DD-AFC4-6F175D3DCCD1}">
            <a14:hiddenFill xmlns:a14="http://schemas.microsoft.com/office/drawing/2010/main">
              <a:solidFill>
                <a:srgbClr val="FFFFFF"/>
              </a:solidFill>
            </a14:hiddenFill>
          </a:ext>
        </a:extLst>
      </xdr:spPr>
    </xdr:pic>
    <xdr:clientData/>
  </xdr:twoCellAnchor>
</xdr:wsDr>
</file>

<file path=xl/theme/theme1.xml><?xml version="1.0" encoding="utf-8"?>
<a:theme xmlns:a="http://schemas.openxmlformats.org/drawingml/2006/main" name="Sheets">
  <a:themeElements>
    <a:clrScheme name="FPL">
      <a:dk1>
        <a:srgbClr val="000000"/>
      </a:dk1>
      <a:lt1>
        <a:srgbClr val="FFFFFF"/>
      </a:lt1>
      <a:dk2>
        <a:srgbClr val="000000"/>
      </a:dk2>
      <a:lt2>
        <a:srgbClr val="FFFFFF"/>
      </a:lt2>
      <a:accent1>
        <a:srgbClr val="37003C"/>
      </a:accent1>
      <a:accent2>
        <a:srgbClr val="09FEA5"/>
      </a:accent2>
      <a:accent3>
        <a:srgbClr val="FFFFFF"/>
      </a:accent3>
      <a:accent4>
        <a:srgbClr val="380B3F"/>
      </a:accent4>
      <a:accent5>
        <a:srgbClr val="000000"/>
      </a:accent5>
      <a:accent6>
        <a:srgbClr val="0FF3EA"/>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350" row="4">
    <wetp:webextensionref xmlns:r="http://schemas.openxmlformats.org/officeDocument/2006/relationships" r:id="rId1"/>
  </wetp:taskpane>
</wetp:taskpanes>
</file>

<file path=xl/webextensions/webextension1.xml><?xml version="1.0" encoding="utf-8"?>
<we:webextension xmlns:we="http://schemas.microsoft.com/office/webextensions/webextension/2010/11" id="{D13F23A0-EE80-4AF9-B3AE-70EB47633F64}">
  <we:reference id="wa200009404" version="1.0.0.8" store="en-US" storeType="OMEX"/>
  <we:alternateReferences>
    <we:reference id="wa200009404" version="1.0.0.8" store="wa200009404" storeType="OMEX"/>
  </we:alternateReferences>
  <we:properties>
    <we:property name="claude.fileId" value="&quot;a2995873-9449-45a9-ac3c-ddf300200d44&quot;"/>
  </we:properties>
  <we:bindings/>
  <we:snapshot xmlns:r="http://schemas.openxmlformats.org/officeDocument/2006/relationships"/>
  <we:extLst>
    <a:ext xmlns:a="http://schemas.openxmlformats.org/drawingml/2006/main" uri="{D87F86FE-615C-45B5-9D79-34F1136793EB}">
      <we:containsCustomFunctions/>
    </a:ext>
  </we:extLst>
</we:webextension>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8" Type="http://schemas.openxmlformats.org/officeDocument/2006/relationships/hyperlink" Target="https://fantasy.premierleague.com/entry/6175620/history" TargetMode="External"/><Relationship Id="rId13" Type="http://schemas.openxmlformats.org/officeDocument/2006/relationships/hyperlink" Target="https://fantasy.premierleague.com/entry/5029495/history" TargetMode="External"/><Relationship Id="rId18" Type="http://schemas.openxmlformats.org/officeDocument/2006/relationships/drawing" Target="../drawings/drawing3.xml"/><Relationship Id="rId3" Type="http://schemas.openxmlformats.org/officeDocument/2006/relationships/hyperlink" Target="https://fantasy.premierleague.com/entry/7264842/history" TargetMode="External"/><Relationship Id="rId7" Type="http://schemas.openxmlformats.org/officeDocument/2006/relationships/hyperlink" Target="https://fantasy.premierleague.com/entry/6410488/history" TargetMode="External"/><Relationship Id="rId12" Type="http://schemas.openxmlformats.org/officeDocument/2006/relationships/hyperlink" Target="https://fantasy.premierleague.com/entry/5253170/history" TargetMode="External"/><Relationship Id="rId17" Type="http://schemas.openxmlformats.org/officeDocument/2006/relationships/hyperlink" Target="https://fantasy.premierleague.com/entry/8924713/history" TargetMode="External"/><Relationship Id="rId2" Type="http://schemas.openxmlformats.org/officeDocument/2006/relationships/hyperlink" Target="https://fantasy.premierleague.com/entry/8695328/history" TargetMode="External"/><Relationship Id="rId16" Type="http://schemas.openxmlformats.org/officeDocument/2006/relationships/hyperlink" Target="https://fantasy.premierleague.com/entry/3390995/history" TargetMode="External"/><Relationship Id="rId1" Type="http://schemas.openxmlformats.org/officeDocument/2006/relationships/hyperlink" Target="https://fantasy.premierleague.com/entry/1243183/history" TargetMode="External"/><Relationship Id="rId6" Type="http://schemas.openxmlformats.org/officeDocument/2006/relationships/hyperlink" Target="https://fantasy.premierleague.com/entry/4764943/history" TargetMode="External"/><Relationship Id="rId11" Type="http://schemas.openxmlformats.org/officeDocument/2006/relationships/hyperlink" Target="https://fantasy.premierleague.com/entry/5265465/history" TargetMode="External"/><Relationship Id="rId5" Type="http://schemas.openxmlformats.org/officeDocument/2006/relationships/hyperlink" Target="https://fantasy.premierleague.com/entry/6487265/history" TargetMode="External"/><Relationship Id="rId15" Type="http://schemas.openxmlformats.org/officeDocument/2006/relationships/hyperlink" Target="https://fantasy.premierleague.com/entry/3983382/history" TargetMode="External"/><Relationship Id="rId10" Type="http://schemas.openxmlformats.org/officeDocument/2006/relationships/hyperlink" Target="https://fantasy.premierleague.com/entry/3703048/history" TargetMode="External"/><Relationship Id="rId4" Type="http://schemas.openxmlformats.org/officeDocument/2006/relationships/hyperlink" Target="https://fantasy.premierleague.com/entry/7022245/history" TargetMode="External"/><Relationship Id="rId9" Type="http://schemas.openxmlformats.org/officeDocument/2006/relationships/hyperlink" Target="https://fantasy.premierleague.com/entry/4608814/history" TargetMode="External"/><Relationship Id="rId14" Type="http://schemas.openxmlformats.org/officeDocument/2006/relationships/hyperlink" Target="https://fantasy.premierleague.com/entry/4990240/history" TargetMode="External"/></Relationships>
</file>

<file path=xl/worksheets/_rels/sheet4.xml.rels><?xml version="1.0" encoding="UTF-8" standalone="yes"?>
<Relationships xmlns="http://schemas.openxmlformats.org/package/2006/relationships"><Relationship Id="rId8" Type="http://schemas.openxmlformats.org/officeDocument/2006/relationships/hyperlink" Target="https://fantasy.premierleague.com/entry/6175620/history" TargetMode="External"/><Relationship Id="rId13" Type="http://schemas.openxmlformats.org/officeDocument/2006/relationships/hyperlink" Target="https://fantasy.premierleague.com/entry/5029495/history" TargetMode="External"/><Relationship Id="rId18" Type="http://schemas.openxmlformats.org/officeDocument/2006/relationships/drawing" Target="../drawings/drawing4.xml"/><Relationship Id="rId3" Type="http://schemas.openxmlformats.org/officeDocument/2006/relationships/hyperlink" Target="https://fantasy.premierleague.com/entry/7264842/history" TargetMode="External"/><Relationship Id="rId7" Type="http://schemas.openxmlformats.org/officeDocument/2006/relationships/hyperlink" Target="https://fantasy.premierleague.com/entry/6410488/history" TargetMode="External"/><Relationship Id="rId12" Type="http://schemas.openxmlformats.org/officeDocument/2006/relationships/hyperlink" Target="https://fantasy.premierleague.com/entry/5253170/history" TargetMode="External"/><Relationship Id="rId17" Type="http://schemas.openxmlformats.org/officeDocument/2006/relationships/hyperlink" Target="https://fantasy.premierleague.com/entry/8924713/history" TargetMode="External"/><Relationship Id="rId2" Type="http://schemas.openxmlformats.org/officeDocument/2006/relationships/hyperlink" Target="https://fantasy.premierleague.com/entry/8695328/history" TargetMode="External"/><Relationship Id="rId16" Type="http://schemas.openxmlformats.org/officeDocument/2006/relationships/hyperlink" Target="https://fantasy.premierleague.com/entry/3390995/history" TargetMode="External"/><Relationship Id="rId1" Type="http://schemas.openxmlformats.org/officeDocument/2006/relationships/hyperlink" Target="https://fantasy.premierleague.com/entry/1243183/history" TargetMode="External"/><Relationship Id="rId6" Type="http://schemas.openxmlformats.org/officeDocument/2006/relationships/hyperlink" Target="https://fantasy.premierleague.com/entry/4764943/history" TargetMode="External"/><Relationship Id="rId11" Type="http://schemas.openxmlformats.org/officeDocument/2006/relationships/hyperlink" Target="https://fantasy.premierleague.com/entry/5265465/history" TargetMode="External"/><Relationship Id="rId5" Type="http://schemas.openxmlformats.org/officeDocument/2006/relationships/hyperlink" Target="https://fantasy.premierleague.com/entry/6487265/history" TargetMode="External"/><Relationship Id="rId15" Type="http://schemas.openxmlformats.org/officeDocument/2006/relationships/hyperlink" Target="https://fantasy.premierleague.com/entry/3983382/history" TargetMode="External"/><Relationship Id="rId10" Type="http://schemas.openxmlformats.org/officeDocument/2006/relationships/hyperlink" Target="https://fantasy.premierleague.com/entry/3703048/history" TargetMode="External"/><Relationship Id="rId4" Type="http://schemas.openxmlformats.org/officeDocument/2006/relationships/hyperlink" Target="https://fantasy.premierleague.com/entry/7022245/history" TargetMode="External"/><Relationship Id="rId9" Type="http://schemas.openxmlformats.org/officeDocument/2006/relationships/hyperlink" Target="https://fantasy.premierleague.com/entry/4608814/history" TargetMode="External"/><Relationship Id="rId14" Type="http://schemas.openxmlformats.org/officeDocument/2006/relationships/hyperlink" Target="https://fantasy.premierleague.com/entry/4990240/history" TargetMode="Externa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7.xml.rels><?xml version="1.0" encoding="UTF-8" standalone="yes"?>
<Relationships xmlns="http://schemas.openxmlformats.org/package/2006/relationships"><Relationship Id="rId13" Type="http://schemas.openxmlformats.org/officeDocument/2006/relationships/hyperlink" Target="https://fantasy.premierleague.com/entry/5029495/history" TargetMode="External"/><Relationship Id="rId18" Type="http://schemas.openxmlformats.org/officeDocument/2006/relationships/hyperlink" Target="https://fantasy.premierleague.com/entry/1243183/history" TargetMode="External"/><Relationship Id="rId26" Type="http://schemas.openxmlformats.org/officeDocument/2006/relationships/hyperlink" Target="https://fantasy.premierleague.com/entry/4608814/history" TargetMode="External"/><Relationship Id="rId39" Type="http://schemas.openxmlformats.org/officeDocument/2006/relationships/hyperlink" Target="https://fantasy.premierleague.com/entry/6487265/history" TargetMode="External"/><Relationship Id="rId21" Type="http://schemas.openxmlformats.org/officeDocument/2006/relationships/hyperlink" Target="https://fantasy.premierleague.com/entry/7022245/history" TargetMode="External"/><Relationship Id="rId34" Type="http://schemas.openxmlformats.org/officeDocument/2006/relationships/hyperlink" Target="https://fantasy.premierleague.com/entry/8924713/history" TargetMode="External"/><Relationship Id="rId42" Type="http://schemas.openxmlformats.org/officeDocument/2006/relationships/hyperlink" Target="https://fantasy.premierleague.com/entry/6175620/history" TargetMode="External"/><Relationship Id="rId47" Type="http://schemas.openxmlformats.org/officeDocument/2006/relationships/hyperlink" Target="https://fantasy.premierleague.com/entry/5029495/history" TargetMode="External"/><Relationship Id="rId50" Type="http://schemas.openxmlformats.org/officeDocument/2006/relationships/hyperlink" Target="https://fantasy.premierleague.com/entry/3390995/history" TargetMode="External"/><Relationship Id="rId7" Type="http://schemas.openxmlformats.org/officeDocument/2006/relationships/hyperlink" Target="https://fantasy.premierleague.com/entry/6410488/history" TargetMode="External"/><Relationship Id="rId2" Type="http://schemas.openxmlformats.org/officeDocument/2006/relationships/hyperlink" Target="https://fantasy.premierleague.com/entry/8695328/history" TargetMode="External"/><Relationship Id="rId16" Type="http://schemas.openxmlformats.org/officeDocument/2006/relationships/hyperlink" Target="https://fantasy.premierleague.com/entry/3390995/history" TargetMode="External"/><Relationship Id="rId29" Type="http://schemas.openxmlformats.org/officeDocument/2006/relationships/hyperlink" Target="https://fantasy.premierleague.com/entry/5253170/history" TargetMode="External"/><Relationship Id="rId11" Type="http://schemas.openxmlformats.org/officeDocument/2006/relationships/hyperlink" Target="https://fantasy.premierleague.com/entry/5265465/history" TargetMode="External"/><Relationship Id="rId24" Type="http://schemas.openxmlformats.org/officeDocument/2006/relationships/hyperlink" Target="https://fantasy.premierleague.com/entry/6410488/history" TargetMode="External"/><Relationship Id="rId32" Type="http://schemas.openxmlformats.org/officeDocument/2006/relationships/hyperlink" Target="https://fantasy.premierleague.com/entry/3983382/history" TargetMode="External"/><Relationship Id="rId37" Type="http://schemas.openxmlformats.org/officeDocument/2006/relationships/hyperlink" Target="https://fantasy.premierleague.com/entry/7264842/history" TargetMode="External"/><Relationship Id="rId40" Type="http://schemas.openxmlformats.org/officeDocument/2006/relationships/hyperlink" Target="https://fantasy.premierleague.com/entry/4764943/history" TargetMode="External"/><Relationship Id="rId45" Type="http://schemas.openxmlformats.org/officeDocument/2006/relationships/hyperlink" Target="https://fantasy.premierleague.com/entry/5265465/history" TargetMode="External"/><Relationship Id="rId53" Type="http://schemas.openxmlformats.org/officeDocument/2006/relationships/drawing" Target="../drawings/drawing6.xml"/><Relationship Id="rId5" Type="http://schemas.openxmlformats.org/officeDocument/2006/relationships/hyperlink" Target="https://fantasy.premierleague.com/entry/6487265/history" TargetMode="External"/><Relationship Id="rId10" Type="http://schemas.openxmlformats.org/officeDocument/2006/relationships/hyperlink" Target="https://fantasy.premierleague.com/entry/3703048/history" TargetMode="External"/><Relationship Id="rId19" Type="http://schemas.openxmlformats.org/officeDocument/2006/relationships/hyperlink" Target="https://fantasy.premierleague.com/entry/8695328/history" TargetMode="External"/><Relationship Id="rId31" Type="http://schemas.openxmlformats.org/officeDocument/2006/relationships/hyperlink" Target="https://fantasy.premierleague.com/entry/4990240/history" TargetMode="External"/><Relationship Id="rId44" Type="http://schemas.openxmlformats.org/officeDocument/2006/relationships/hyperlink" Target="https://fantasy.premierleague.com/entry/3703048/history" TargetMode="External"/><Relationship Id="rId52" Type="http://schemas.openxmlformats.org/officeDocument/2006/relationships/printerSettings" Target="../printerSettings/printerSettings1.bin"/><Relationship Id="rId4" Type="http://schemas.openxmlformats.org/officeDocument/2006/relationships/hyperlink" Target="https://fantasy.premierleague.com/entry/7022245/history" TargetMode="External"/><Relationship Id="rId9" Type="http://schemas.openxmlformats.org/officeDocument/2006/relationships/hyperlink" Target="https://fantasy.premierleague.com/entry/4608814/history" TargetMode="External"/><Relationship Id="rId14" Type="http://schemas.openxmlformats.org/officeDocument/2006/relationships/hyperlink" Target="https://fantasy.premierleague.com/entry/4990240/history" TargetMode="External"/><Relationship Id="rId22" Type="http://schemas.openxmlformats.org/officeDocument/2006/relationships/hyperlink" Target="https://fantasy.premierleague.com/entry/6487265/history" TargetMode="External"/><Relationship Id="rId27" Type="http://schemas.openxmlformats.org/officeDocument/2006/relationships/hyperlink" Target="https://fantasy.premierleague.com/entry/3703048/history" TargetMode="External"/><Relationship Id="rId30" Type="http://schemas.openxmlformats.org/officeDocument/2006/relationships/hyperlink" Target="https://fantasy.premierleague.com/entry/5029495/history" TargetMode="External"/><Relationship Id="rId35" Type="http://schemas.openxmlformats.org/officeDocument/2006/relationships/hyperlink" Target="https://fantasy.premierleague.com/entry/1243183/history" TargetMode="External"/><Relationship Id="rId43" Type="http://schemas.openxmlformats.org/officeDocument/2006/relationships/hyperlink" Target="https://fantasy.premierleague.com/entry/4608814/history" TargetMode="External"/><Relationship Id="rId48" Type="http://schemas.openxmlformats.org/officeDocument/2006/relationships/hyperlink" Target="https://fantasy.premierleague.com/entry/4990240/history" TargetMode="External"/><Relationship Id="rId8" Type="http://schemas.openxmlformats.org/officeDocument/2006/relationships/hyperlink" Target="https://fantasy.premierleague.com/entry/6175620/history" TargetMode="External"/><Relationship Id="rId51" Type="http://schemas.openxmlformats.org/officeDocument/2006/relationships/hyperlink" Target="https://fantasy.premierleague.com/entry/8924713/history" TargetMode="External"/><Relationship Id="rId3" Type="http://schemas.openxmlformats.org/officeDocument/2006/relationships/hyperlink" Target="https://fantasy.premierleague.com/entry/7264842/history" TargetMode="External"/><Relationship Id="rId12" Type="http://schemas.openxmlformats.org/officeDocument/2006/relationships/hyperlink" Target="https://fantasy.premierleague.com/entry/5253170/history" TargetMode="External"/><Relationship Id="rId17" Type="http://schemas.openxmlformats.org/officeDocument/2006/relationships/hyperlink" Target="https://fantasy.premierleague.com/entry/8924713/history" TargetMode="External"/><Relationship Id="rId25" Type="http://schemas.openxmlformats.org/officeDocument/2006/relationships/hyperlink" Target="https://fantasy.premierleague.com/entry/6175620/history" TargetMode="External"/><Relationship Id="rId33" Type="http://schemas.openxmlformats.org/officeDocument/2006/relationships/hyperlink" Target="https://fantasy.premierleague.com/entry/3390995/history" TargetMode="External"/><Relationship Id="rId38" Type="http://schemas.openxmlformats.org/officeDocument/2006/relationships/hyperlink" Target="https://fantasy.premierleague.com/entry/7022245/history" TargetMode="External"/><Relationship Id="rId46" Type="http://schemas.openxmlformats.org/officeDocument/2006/relationships/hyperlink" Target="https://fantasy.premierleague.com/entry/5253170/history" TargetMode="External"/><Relationship Id="rId20" Type="http://schemas.openxmlformats.org/officeDocument/2006/relationships/hyperlink" Target="https://fantasy.premierleague.com/entry/7264842/history" TargetMode="External"/><Relationship Id="rId41" Type="http://schemas.openxmlformats.org/officeDocument/2006/relationships/hyperlink" Target="https://fantasy.premierleague.com/entry/6410488/history" TargetMode="External"/><Relationship Id="rId1" Type="http://schemas.openxmlformats.org/officeDocument/2006/relationships/hyperlink" Target="https://fantasy.premierleague.com/entry/1243183/history" TargetMode="External"/><Relationship Id="rId6" Type="http://schemas.openxmlformats.org/officeDocument/2006/relationships/hyperlink" Target="https://fantasy.premierleague.com/entry/4764943/history" TargetMode="External"/><Relationship Id="rId15" Type="http://schemas.openxmlformats.org/officeDocument/2006/relationships/hyperlink" Target="https://fantasy.premierleague.com/entry/3983382/history" TargetMode="External"/><Relationship Id="rId23" Type="http://schemas.openxmlformats.org/officeDocument/2006/relationships/hyperlink" Target="https://fantasy.premierleague.com/entry/4764943/history" TargetMode="External"/><Relationship Id="rId28" Type="http://schemas.openxmlformats.org/officeDocument/2006/relationships/hyperlink" Target="https://fantasy.premierleague.com/entry/5265465/history" TargetMode="External"/><Relationship Id="rId36" Type="http://schemas.openxmlformats.org/officeDocument/2006/relationships/hyperlink" Target="https://fantasy.premierleague.com/entry/8695328/history" TargetMode="External"/><Relationship Id="rId49" Type="http://schemas.openxmlformats.org/officeDocument/2006/relationships/hyperlink" Target="https://fantasy.premierleague.com/entry/3983382/history" TargetMode="External"/></Relationships>
</file>

<file path=xl/worksheets/_rels/sheet8.xml.rels><?xml version="1.0" encoding="UTF-8" standalone="yes"?>
<Relationships xmlns="http://schemas.openxmlformats.org/package/2006/relationships"><Relationship Id="rId8" Type="http://schemas.openxmlformats.org/officeDocument/2006/relationships/hyperlink" Target="https://fantasy.premierleague.com/entry/6175620/history" TargetMode="External"/><Relationship Id="rId13" Type="http://schemas.openxmlformats.org/officeDocument/2006/relationships/hyperlink" Target="https://fantasy.premierleague.com/entry/5029495/history" TargetMode="External"/><Relationship Id="rId3" Type="http://schemas.openxmlformats.org/officeDocument/2006/relationships/hyperlink" Target="https://fantasy.premierleague.com/entry/7264842/history" TargetMode="External"/><Relationship Id="rId7" Type="http://schemas.openxmlformats.org/officeDocument/2006/relationships/hyperlink" Target="https://fantasy.premierleague.com/entry/6410488/history" TargetMode="External"/><Relationship Id="rId12" Type="http://schemas.openxmlformats.org/officeDocument/2006/relationships/hyperlink" Target="https://fantasy.premierleague.com/entry/5253170/history" TargetMode="External"/><Relationship Id="rId17" Type="http://schemas.openxmlformats.org/officeDocument/2006/relationships/hyperlink" Target="https://fantasy.premierleague.com/entry/8924713/history" TargetMode="External"/><Relationship Id="rId2" Type="http://schemas.openxmlformats.org/officeDocument/2006/relationships/hyperlink" Target="https://fantasy.premierleague.com/entry/8695328/history" TargetMode="External"/><Relationship Id="rId16" Type="http://schemas.openxmlformats.org/officeDocument/2006/relationships/hyperlink" Target="https://fantasy.premierleague.com/entry/3390995/history" TargetMode="External"/><Relationship Id="rId1" Type="http://schemas.openxmlformats.org/officeDocument/2006/relationships/hyperlink" Target="https://fantasy.premierleague.com/entry/1243183/history" TargetMode="External"/><Relationship Id="rId6" Type="http://schemas.openxmlformats.org/officeDocument/2006/relationships/hyperlink" Target="https://fantasy.premierleague.com/entry/4764943/history" TargetMode="External"/><Relationship Id="rId11" Type="http://schemas.openxmlformats.org/officeDocument/2006/relationships/hyperlink" Target="https://fantasy.premierleague.com/entry/5265465/history" TargetMode="External"/><Relationship Id="rId5" Type="http://schemas.openxmlformats.org/officeDocument/2006/relationships/hyperlink" Target="https://fantasy.premierleague.com/entry/6487265/history" TargetMode="External"/><Relationship Id="rId15" Type="http://schemas.openxmlformats.org/officeDocument/2006/relationships/hyperlink" Target="https://fantasy.premierleague.com/entry/3983382/history" TargetMode="External"/><Relationship Id="rId10" Type="http://schemas.openxmlformats.org/officeDocument/2006/relationships/hyperlink" Target="https://fantasy.premierleague.com/entry/3703048/history" TargetMode="External"/><Relationship Id="rId4" Type="http://schemas.openxmlformats.org/officeDocument/2006/relationships/hyperlink" Target="https://fantasy.premierleague.com/entry/7022245/history" TargetMode="External"/><Relationship Id="rId9" Type="http://schemas.openxmlformats.org/officeDocument/2006/relationships/hyperlink" Target="https://fantasy.premierleague.com/entry/4608814/history" TargetMode="External"/><Relationship Id="rId14" Type="http://schemas.openxmlformats.org/officeDocument/2006/relationships/hyperlink" Target="https://fantasy.premierleague.com/entry/4990240/history" TargetMode="External"/></Relationships>
</file>

<file path=xl/worksheets/_rels/sheet9.xml.rels><?xml version="1.0" encoding="UTF-8" standalone="yes"?>
<Relationships xmlns="http://schemas.openxmlformats.org/package/2006/relationships"><Relationship Id="rId8" Type="http://schemas.openxmlformats.org/officeDocument/2006/relationships/hyperlink" Target="https://fantasy.premierleague.com/entry/6175620/history" TargetMode="External"/><Relationship Id="rId13" Type="http://schemas.openxmlformats.org/officeDocument/2006/relationships/hyperlink" Target="https://fantasy.premierleague.com/entry/5029495/history" TargetMode="External"/><Relationship Id="rId3" Type="http://schemas.openxmlformats.org/officeDocument/2006/relationships/hyperlink" Target="https://fantasy.premierleague.com/entry/7264842/history" TargetMode="External"/><Relationship Id="rId7" Type="http://schemas.openxmlformats.org/officeDocument/2006/relationships/hyperlink" Target="https://fantasy.premierleague.com/entry/6410488/history" TargetMode="External"/><Relationship Id="rId12" Type="http://schemas.openxmlformats.org/officeDocument/2006/relationships/hyperlink" Target="https://fantasy.premierleague.com/entry/5253170/history" TargetMode="External"/><Relationship Id="rId17" Type="http://schemas.openxmlformats.org/officeDocument/2006/relationships/hyperlink" Target="https://fantasy.premierleague.com/entry/8924713/history" TargetMode="External"/><Relationship Id="rId2" Type="http://schemas.openxmlformats.org/officeDocument/2006/relationships/hyperlink" Target="https://fantasy.premierleague.com/entry/8695328/history" TargetMode="External"/><Relationship Id="rId16" Type="http://schemas.openxmlformats.org/officeDocument/2006/relationships/hyperlink" Target="https://fantasy.premierleague.com/entry/3390995/history" TargetMode="External"/><Relationship Id="rId1" Type="http://schemas.openxmlformats.org/officeDocument/2006/relationships/hyperlink" Target="https://fantasy.premierleague.com/entry/1243183/history" TargetMode="External"/><Relationship Id="rId6" Type="http://schemas.openxmlformats.org/officeDocument/2006/relationships/hyperlink" Target="https://fantasy.premierleague.com/entry/4764943/history" TargetMode="External"/><Relationship Id="rId11" Type="http://schemas.openxmlformats.org/officeDocument/2006/relationships/hyperlink" Target="https://fantasy.premierleague.com/entry/5265465/history" TargetMode="External"/><Relationship Id="rId5" Type="http://schemas.openxmlformats.org/officeDocument/2006/relationships/hyperlink" Target="https://fantasy.premierleague.com/entry/6487265/history" TargetMode="External"/><Relationship Id="rId15" Type="http://schemas.openxmlformats.org/officeDocument/2006/relationships/hyperlink" Target="https://fantasy.premierleague.com/entry/3983382/history" TargetMode="External"/><Relationship Id="rId10" Type="http://schemas.openxmlformats.org/officeDocument/2006/relationships/hyperlink" Target="https://fantasy.premierleague.com/entry/3703048/history" TargetMode="External"/><Relationship Id="rId4" Type="http://schemas.openxmlformats.org/officeDocument/2006/relationships/hyperlink" Target="https://fantasy.premierleague.com/entry/7022245/history" TargetMode="External"/><Relationship Id="rId9" Type="http://schemas.openxmlformats.org/officeDocument/2006/relationships/hyperlink" Target="https://fantasy.premierleague.com/entry/4608814/history" TargetMode="External"/><Relationship Id="rId14" Type="http://schemas.openxmlformats.org/officeDocument/2006/relationships/hyperlink" Target="https://fantasy.premierleague.com/entry/4990240/history"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B1:O1010"/>
  <sheetViews>
    <sheetView showGridLines="0" workbookViewId="0">
      <selection activeCell="A22" sqref="A22"/>
    </sheetView>
  </sheetViews>
  <sheetFormatPr defaultColWidth="12.5703125" defaultRowHeight="15" customHeight="1" x14ac:dyDescent="0.2"/>
  <cols>
    <col min="1" max="1" width="1.42578125" customWidth="1"/>
    <col min="2" max="2" width="24.42578125" customWidth="1"/>
    <col min="3" max="6" width="12.5703125" customWidth="1"/>
    <col min="15" max="15" width="77.140625" customWidth="1"/>
  </cols>
  <sheetData>
    <row r="1" spans="2:15" ht="9.75" customHeight="1" x14ac:dyDescent="0.2"/>
    <row r="2" spans="2:15" ht="9.75" customHeight="1" x14ac:dyDescent="0.2"/>
    <row r="3" spans="2:15" ht="9.75" customHeight="1" x14ac:dyDescent="0.2"/>
    <row r="4" spans="2:15" ht="9.75" customHeight="1" x14ac:dyDescent="0.2"/>
    <row r="5" spans="2:15" ht="9.75" customHeight="1" x14ac:dyDescent="0.2"/>
    <row r="6" spans="2:15" ht="9.75" customHeight="1" x14ac:dyDescent="0.2"/>
    <row r="7" spans="2:15" ht="9.75" customHeight="1" x14ac:dyDescent="0.2"/>
    <row r="8" spans="2:15" ht="9.75" customHeight="1" x14ac:dyDescent="0.2"/>
    <row r="9" spans="2:15" ht="12.75" x14ac:dyDescent="0.2">
      <c r="B9" s="22" t="s">
        <v>0</v>
      </c>
      <c r="C9" s="23"/>
      <c r="D9" s="23"/>
      <c r="E9" s="23"/>
      <c r="F9" s="23"/>
      <c r="G9" s="23"/>
      <c r="H9" s="23"/>
      <c r="I9" s="23"/>
      <c r="J9" s="23"/>
      <c r="K9" s="23"/>
      <c r="L9" s="23"/>
      <c r="M9" s="23"/>
      <c r="N9" s="23"/>
      <c r="O9" s="24"/>
    </row>
    <row r="10" spans="2:15" ht="12.75" x14ac:dyDescent="0.2">
      <c r="B10" s="1"/>
      <c r="O10" s="2"/>
    </row>
    <row r="11" spans="2:15" ht="12.75" x14ac:dyDescent="0.2">
      <c r="B11" s="9" t="s">
        <v>1</v>
      </c>
      <c r="O11" s="2"/>
    </row>
    <row r="12" spans="2:15" ht="12.75" x14ac:dyDescent="0.2">
      <c r="B12" s="9" t="s">
        <v>2</v>
      </c>
      <c r="O12" s="2"/>
    </row>
    <row r="13" spans="2:15" ht="12.75" x14ac:dyDescent="0.2">
      <c r="B13" s="1" t="s">
        <v>3</v>
      </c>
      <c r="O13" s="2"/>
    </row>
    <row r="14" spans="2:15" ht="12.75" x14ac:dyDescent="0.2">
      <c r="B14" s="1" t="s">
        <v>4</v>
      </c>
      <c r="O14" s="2"/>
    </row>
    <row r="15" spans="2:15" ht="12.75" x14ac:dyDescent="0.2">
      <c r="B15" s="9" t="s">
        <v>5</v>
      </c>
      <c r="O15" s="2"/>
    </row>
    <row r="16" spans="2:15" ht="27" customHeight="1" x14ac:dyDescent="0.2">
      <c r="B16" s="110" t="s">
        <v>6</v>
      </c>
      <c r="C16" s="111"/>
      <c r="D16" s="111"/>
      <c r="E16" s="111"/>
      <c r="F16" s="111"/>
      <c r="G16" s="111"/>
      <c r="H16" s="111"/>
      <c r="I16" s="111"/>
      <c r="J16" s="111"/>
      <c r="K16" s="111"/>
      <c r="L16" s="111"/>
      <c r="M16" s="111"/>
      <c r="N16" s="111"/>
      <c r="O16" s="112"/>
    </row>
    <row r="17" spans="2:15" ht="12.75" x14ac:dyDescent="0.2">
      <c r="B17" s="1" t="s">
        <v>7</v>
      </c>
      <c r="O17" s="2"/>
    </row>
    <row r="18" spans="2:15" ht="12.75" x14ac:dyDescent="0.2">
      <c r="B18" s="10" t="s">
        <v>8</v>
      </c>
      <c r="O18" s="2"/>
    </row>
    <row r="19" spans="2:15" ht="12.75" x14ac:dyDescent="0.2">
      <c r="B19" s="10" t="s">
        <v>9</v>
      </c>
      <c r="O19" s="2"/>
    </row>
    <row r="20" spans="2:15" ht="12.75" x14ac:dyDescent="0.2">
      <c r="B20" s="10" t="s">
        <v>10</v>
      </c>
      <c r="O20" s="2"/>
    </row>
    <row r="21" spans="2:15" ht="12.75" x14ac:dyDescent="0.2">
      <c r="B21" s="9" t="s">
        <v>11</v>
      </c>
      <c r="O21" s="2"/>
    </row>
    <row r="22" spans="2:15" ht="12.75" x14ac:dyDescent="0.2">
      <c r="B22" s="9" t="s">
        <v>12</v>
      </c>
      <c r="O22" s="2"/>
    </row>
    <row r="23" spans="2:15" ht="12.75" x14ac:dyDescent="0.2">
      <c r="B23" s="1" t="s">
        <v>13</v>
      </c>
      <c r="O23" s="2"/>
    </row>
    <row r="24" spans="2:15" ht="12.75" x14ac:dyDescent="0.2">
      <c r="B24" s="1"/>
      <c r="O24" s="2"/>
    </row>
    <row r="25" spans="2:15" ht="12.75" x14ac:dyDescent="0.2">
      <c r="B25" s="9" t="s">
        <v>14</v>
      </c>
      <c r="O25" s="2"/>
    </row>
    <row r="26" spans="2:15" ht="12.75" x14ac:dyDescent="0.2">
      <c r="B26" s="9" t="s">
        <v>15</v>
      </c>
      <c r="O26" s="2"/>
    </row>
    <row r="27" spans="2:15" ht="12.75" x14ac:dyDescent="0.2">
      <c r="B27" s="9" t="s">
        <v>16</v>
      </c>
      <c r="O27" s="2"/>
    </row>
    <row r="28" spans="2:15" ht="12.75" x14ac:dyDescent="0.2">
      <c r="B28" s="9" t="s">
        <v>17</v>
      </c>
      <c r="O28" s="2"/>
    </row>
    <row r="29" spans="2:15" ht="12.75" x14ac:dyDescent="0.2">
      <c r="B29" s="1"/>
      <c r="O29" s="2"/>
    </row>
    <row r="30" spans="2:15" ht="12.75" x14ac:dyDescent="0.2">
      <c r="B30" s="3" t="s">
        <v>18</v>
      </c>
      <c r="O30" s="2"/>
    </row>
    <row r="31" spans="2:15" ht="15.75" customHeight="1" x14ac:dyDescent="0.2">
      <c r="B31" s="1"/>
      <c r="O31" s="2"/>
    </row>
    <row r="32" spans="2:15" ht="65.25" customHeight="1" x14ac:dyDescent="0.2">
      <c r="B32" s="113" t="s">
        <v>19</v>
      </c>
      <c r="C32" s="111"/>
      <c r="D32" s="111"/>
      <c r="O32" s="2"/>
    </row>
    <row r="33" spans="2:15" ht="15.75" customHeight="1" x14ac:dyDescent="0.2">
      <c r="B33" s="4"/>
      <c r="C33" s="5"/>
      <c r="D33" s="5"/>
      <c r="E33" s="5"/>
      <c r="F33" s="5"/>
      <c r="G33" s="5"/>
      <c r="H33" s="5"/>
      <c r="I33" s="5"/>
      <c r="J33" s="5"/>
      <c r="K33" s="5"/>
      <c r="L33" s="5"/>
      <c r="M33" s="5"/>
      <c r="N33" s="5"/>
      <c r="O33" s="6"/>
    </row>
    <row r="34" spans="2:15" ht="15.75" customHeight="1" x14ac:dyDescent="0.2"/>
    <row r="35" spans="2:15" ht="15.75" customHeight="1" x14ac:dyDescent="0.2"/>
    <row r="36" spans="2:15" ht="15.75" customHeight="1" x14ac:dyDescent="0.2"/>
    <row r="37" spans="2:15" ht="15.75" customHeight="1" x14ac:dyDescent="0.2"/>
    <row r="38" spans="2:15" ht="15.75" customHeight="1" x14ac:dyDescent="0.2"/>
    <row r="39" spans="2:15" ht="15.75" customHeight="1" x14ac:dyDescent="0.2"/>
    <row r="40" spans="2:15" ht="15.75" customHeight="1" x14ac:dyDescent="0.2"/>
    <row r="41" spans="2:15" ht="15.75" customHeight="1" x14ac:dyDescent="0.2"/>
    <row r="42" spans="2:15" ht="15.75" customHeight="1" x14ac:dyDescent="0.2"/>
    <row r="43" spans="2:15" ht="15.75" customHeight="1" x14ac:dyDescent="0.2"/>
    <row r="44" spans="2:15" ht="15.75" customHeight="1" x14ac:dyDescent="0.2"/>
    <row r="45" spans="2:15" ht="15.75" customHeight="1" x14ac:dyDescent="0.2"/>
    <row r="46" spans="2:15" ht="15.75" customHeight="1" x14ac:dyDescent="0.2"/>
    <row r="47" spans="2:15" ht="15.75" customHeight="1" x14ac:dyDescent="0.2"/>
    <row r="48" spans="2:15" ht="15.75" customHeight="1" x14ac:dyDescent="0.2"/>
    <row r="49" ht="15.75" customHeight="1" x14ac:dyDescent="0.2"/>
    <row r="50" ht="15.75" customHeight="1" x14ac:dyDescent="0.2"/>
    <row r="51" ht="15.75" customHeight="1" x14ac:dyDescent="0.2"/>
    <row r="52" ht="15.75" customHeight="1" x14ac:dyDescent="0.2"/>
    <row r="53" ht="15.75" customHeight="1" x14ac:dyDescent="0.2"/>
    <row r="54" ht="15.75" customHeight="1" x14ac:dyDescent="0.2"/>
    <row r="55" ht="15.75" customHeight="1" x14ac:dyDescent="0.2"/>
    <row r="56" ht="15.75" customHeight="1" x14ac:dyDescent="0.2"/>
    <row r="57" ht="15.75" customHeight="1" x14ac:dyDescent="0.2"/>
    <row r="58" ht="15.75" customHeight="1" x14ac:dyDescent="0.2"/>
    <row r="59" ht="15.75" customHeight="1" x14ac:dyDescent="0.2"/>
    <row r="60" ht="15.75" customHeight="1" x14ac:dyDescent="0.2"/>
    <row r="61" ht="15.75" customHeight="1" x14ac:dyDescent="0.2"/>
    <row r="62" ht="15.75" customHeight="1" x14ac:dyDescent="0.2"/>
    <row r="63" ht="15.75" customHeight="1" x14ac:dyDescent="0.2"/>
    <row r="64" ht="15.75" customHeight="1" x14ac:dyDescent="0.2"/>
    <row r="65" ht="15.75" customHeight="1" x14ac:dyDescent="0.2"/>
    <row r="66" ht="15.75" customHeight="1" x14ac:dyDescent="0.2"/>
    <row r="67" ht="15.75" customHeight="1" x14ac:dyDescent="0.2"/>
    <row r="68" ht="15.75" customHeight="1" x14ac:dyDescent="0.2"/>
    <row r="69" ht="15.75" customHeight="1" x14ac:dyDescent="0.2"/>
    <row r="70" ht="15.75" customHeight="1" x14ac:dyDescent="0.2"/>
    <row r="71" ht="15.75" customHeight="1" x14ac:dyDescent="0.2"/>
    <row r="72" ht="15.75" customHeight="1" x14ac:dyDescent="0.2"/>
    <row r="73" ht="15.75" customHeight="1" x14ac:dyDescent="0.2"/>
    <row r="74" ht="15.75" customHeight="1" x14ac:dyDescent="0.2"/>
    <row r="75" ht="15.75" customHeight="1" x14ac:dyDescent="0.2"/>
    <row r="76" ht="15.75" customHeight="1" x14ac:dyDescent="0.2"/>
    <row r="77" ht="15.75" customHeight="1" x14ac:dyDescent="0.2"/>
    <row r="78" ht="15.75" customHeight="1" x14ac:dyDescent="0.2"/>
    <row r="79" ht="15.75" customHeight="1" x14ac:dyDescent="0.2"/>
    <row r="80" ht="15.75" customHeight="1" x14ac:dyDescent="0.2"/>
    <row r="81" ht="15.75" customHeight="1" x14ac:dyDescent="0.2"/>
    <row r="82" ht="15.75" customHeight="1" x14ac:dyDescent="0.2"/>
    <row r="83" ht="15.75" customHeight="1" x14ac:dyDescent="0.2"/>
    <row r="84" ht="15.75" customHeight="1" x14ac:dyDescent="0.2"/>
    <row r="85" ht="15.75" customHeight="1" x14ac:dyDescent="0.2"/>
    <row r="86" ht="15.75" customHeight="1" x14ac:dyDescent="0.2"/>
    <row r="87" ht="15.75" customHeight="1" x14ac:dyDescent="0.2"/>
    <row r="88" ht="15.75" customHeight="1" x14ac:dyDescent="0.2"/>
    <row r="89" ht="15.75" customHeight="1" x14ac:dyDescent="0.2"/>
    <row r="90" ht="15.75" customHeight="1" x14ac:dyDescent="0.2"/>
    <row r="91" ht="15.75" customHeight="1" x14ac:dyDescent="0.2"/>
    <row r="92" ht="15.75" customHeight="1" x14ac:dyDescent="0.2"/>
    <row r="93" ht="15.75" customHeight="1" x14ac:dyDescent="0.2"/>
    <row r="94" ht="15.75" customHeight="1" x14ac:dyDescent="0.2"/>
    <row r="95" ht="15.75" customHeight="1" x14ac:dyDescent="0.2"/>
    <row r="96" ht="15.75" customHeight="1" x14ac:dyDescent="0.2"/>
    <row r="97" ht="15.75" customHeight="1" x14ac:dyDescent="0.2"/>
    <row r="98" ht="15.75" customHeight="1" x14ac:dyDescent="0.2"/>
    <row r="99" ht="15.75" customHeight="1" x14ac:dyDescent="0.2"/>
    <row r="100" ht="15.75" customHeight="1" x14ac:dyDescent="0.2"/>
    <row r="101" ht="15.75" customHeight="1" x14ac:dyDescent="0.2"/>
    <row r="102" ht="15.75" customHeight="1" x14ac:dyDescent="0.2"/>
    <row r="103" ht="15.75" customHeight="1" x14ac:dyDescent="0.2"/>
    <row r="104" ht="15.75" customHeight="1" x14ac:dyDescent="0.2"/>
    <row r="105" ht="15.75" customHeight="1" x14ac:dyDescent="0.2"/>
    <row r="106" ht="15.75" customHeight="1" x14ac:dyDescent="0.2"/>
    <row r="107" ht="15.75" customHeight="1" x14ac:dyDescent="0.2"/>
    <row r="108" ht="15.75" customHeight="1" x14ac:dyDescent="0.2"/>
    <row r="109" ht="15.75" customHeight="1" x14ac:dyDescent="0.2"/>
    <row r="110" ht="15.75" customHeight="1" x14ac:dyDescent="0.2"/>
    <row r="111" ht="15.75" customHeight="1" x14ac:dyDescent="0.2"/>
    <row r="112" ht="15.75" customHeight="1" x14ac:dyDescent="0.2"/>
    <row r="113" ht="15.75" customHeight="1" x14ac:dyDescent="0.2"/>
    <row r="114" ht="15.75" customHeight="1" x14ac:dyDescent="0.2"/>
    <row r="115" ht="15.75" customHeight="1" x14ac:dyDescent="0.2"/>
    <row r="116" ht="15.75" customHeight="1" x14ac:dyDescent="0.2"/>
    <row r="117" ht="15.75" customHeight="1" x14ac:dyDescent="0.2"/>
    <row r="118" ht="15.75" customHeight="1" x14ac:dyDescent="0.2"/>
    <row r="119" ht="15.75" customHeight="1" x14ac:dyDescent="0.2"/>
    <row r="120" ht="15.75" customHeight="1" x14ac:dyDescent="0.2"/>
    <row r="121" ht="15.75" customHeight="1" x14ac:dyDescent="0.2"/>
    <row r="122" ht="15.75" customHeight="1" x14ac:dyDescent="0.2"/>
    <row r="123" ht="15.75" customHeight="1" x14ac:dyDescent="0.2"/>
    <row r="124" ht="15.75" customHeight="1" x14ac:dyDescent="0.2"/>
    <row r="125" ht="15.75" customHeight="1" x14ac:dyDescent="0.2"/>
    <row r="126" ht="15.75" customHeight="1" x14ac:dyDescent="0.2"/>
    <row r="127" ht="15.75" customHeight="1" x14ac:dyDescent="0.2"/>
    <row r="128" ht="15.75" customHeight="1" x14ac:dyDescent="0.2"/>
    <row r="129" ht="15.75" customHeight="1" x14ac:dyDescent="0.2"/>
    <row r="130" ht="15.75" customHeight="1" x14ac:dyDescent="0.2"/>
    <row r="131" ht="15.75" customHeight="1" x14ac:dyDescent="0.2"/>
    <row r="132" ht="15.75" customHeight="1" x14ac:dyDescent="0.2"/>
    <row r="133" ht="15.75" customHeight="1" x14ac:dyDescent="0.2"/>
    <row r="134" ht="15.75" customHeight="1" x14ac:dyDescent="0.2"/>
    <row r="135" ht="15.75" customHeight="1" x14ac:dyDescent="0.2"/>
    <row r="136" ht="15.75" customHeight="1" x14ac:dyDescent="0.2"/>
    <row r="137" ht="15.75" customHeight="1" x14ac:dyDescent="0.2"/>
    <row r="138" ht="15.75" customHeight="1" x14ac:dyDescent="0.2"/>
    <row r="139" ht="15.75" customHeight="1" x14ac:dyDescent="0.2"/>
    <row r="140" ht="15.75" customHeight="1" x14ac:dyDescent="0.2"/>
    <row r="141" ht="15.75" customHeight="1" x14ac:dyDescent="0.2"/>
    <row r="142" ht="15.75" customHeight="1" x14ac:dyDescent="0.2"/>
    <row r="143" ht="15.75" customHeight="1" x14ac:dyDescent="0.2"/>
    <row r="144" ht="15.75" customHeight="1" x14ac:dyDescent="0.2"/>
    <row r="145" ht="15.75" customHeight="1" x14ac:dyDescent="0.2"/>
    <row r="146" ht="15.75" customHeight="1" x14ac:dyDescent="0.2"/>
    <row r="147" ht="15.75" customHeight="1" x14ac:dyDescent="0.2"/>
    <row r="148" ht="15.75" customHeight="1" x14ac:dyDescent="0.2"/>
    <row r="149" ht="15.75" customHeight="1" x14ac:dyDescent="0.2"/>
    <row r="150" ht="15.75" customHeight="1" x14ac:dyDescent="0.2"/>
    <row r="151" ht="15.75" customHeight="1" x14ac:dyDescent="0.2"/>
    <row r="152" ht="15.75" customHeight="1" x14ac:dyDescent="0.2"/>
    <row r="153" ht="15.75" customHeight="1" x14ac:dyDescent="0.2"/>
    <row r="154" ht="15.75" customHeight="1" x14ac:dyDescent="0.2"/>
    <row r="155" ht="15.75" customHeight="1" x14ac:dyDescent="0.2"/>
    <row r="156" ht="15.75" customHeight="1" x14ac:dyDescent="0.2"/>
    <row r="157" ht="15.75" customHeight="1" x14ac:dyDescent="0.2"/>
    <row r="158" ht="15.75" customHeight="1" x14ac:dyDescent="0.2"/>
    <row r="159" ht="15.75" customHeight="1" x14ac:dyDescent="0.2"/>
    <row r="160"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row r="1001" ht="15.75" customHeight="1" x14ac:dyDescent="0.2"/>
    <row r="1002" ht="15.75" customHeight="1" x14ac:dyDescent="0.2"/>
    <row r="1003" ht="15.75" customHeight="1" x14ac:dyDescent="0.2"/>
    <row r="1004" ht="15.75" customHeight="1" x14ac:dyDescent="0.2"/>
    <row r="1005" ht="15.75" customHeight="1" x14ac:dyDescent="0.2"/>
    <row r="1006" ht="15.75" customHeight="1" x14ac:dyDescent="0.2"/>
    <row r="1007" ht="15.75" customHeight="1" x14ac:dyDescent="0.2"/>
    <row r="1008" ht="15.75" customHeight="1" x14ac:dyDescent="0.2"/>
    <row r="1009" ht="15.75" customHeight="1" x14ac:dyDescent="0.2"/>
    <row r="1010" ht="15.75" customHeight="1" x14ac:dyDescent="0.2"/>
  </sheetData>
  <mergeCells count="2">
    <mergeCell ref="B16:O16"/>
    <mergeCell ref="B32:D32"/>
  </mergeCells>
  <pageMargins left="0.7" right="0.7" top="0.75" bottom="0.75" header="0" footer="0"/>
  <pageSetup orientation="landscape"/>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M979"/>
  <sheetViews>
    <sheetView showGridLines="0" workbookViewId="0">
      <selection activeCell="Y3" sqref="Y3"/>
    </sheetView>
  </sheetViews>
  <sheetFormatPr defaultColWidth="12.5703125" defaultRowHeight="15" customHeight="1" x14ac:dyDescent="0.2"/>
  <cols>
    <col min="1" max="1" width="3.140625" customWidth="1"/>
    <col min="2" max="13" width="8.5703125" customWidth="1"/>
  </cols>
  <sheetData>
    <row r="1" spans="1:13" ht="7.5" customHeight="1" x14ac:dyDescent="0.2"/>
    <row r="2" spans="1:13" ht="12.75" customHeight="1" x14ac:dyDescent="0.2">
      <c r="A2" s="11"/>
      <c r="B2" s="67" t="s">
        <v>20</v>
      </c>
      <c r="C2" s="26"/>
      <c r="D2" s="26"/>
      <c r="E2" s="26"/>
      <c r="F2" s="26"/>
      <c r="G2" s="26"/>
      <c r="H2" s="26"/>
      <c r="I2" s="26"/>
      <c r="J2" s="26"/>
      <c r="K2" s="26"/>
      <c r="L2" s="26"/>
      <c r="M2" s="26"/>
    </row>
    <row r="3" spans="1:13" ht="12.75" customHeight="1" x14ac:dyDescent="0.2">
      <c r="A3" s="11"/>
      <c r="B3" s="67" t="s">
        <v>21</v>
      </c>
      <c r="C3" s="26"/>
      <c r="D3" s="26"/>
      <c r="E3" s="26"/>
      <c r="F3" s="26"/>
      <c r="G3" s="26"/>
      <c r="H3" s="26"/>
      <c r="I3" s="26"/>
      <c r="J3" s="26"/>
      <c r="K3" s="26"/>
      <c r="L3" s="26"/>
      <c r="M3" s="26"/>
    </row>
    <row r="4" spans="1:13" ht="12.75" customHeight="1" x14ac:dyDescent="0.2">
      <c r="A4" s="11"/>
      <c r="B4" s="67" t="s">
        <v>22</v>
      </c>
      <c r="C4" s="26"/>
      <c r="D4" s="26"/>
      <c r="E4" s="26"/>
      <c r="F4" s="26"/>
      <c r="G4" s="26"/>
      <c r="H4" s="26"/>
      <c r="I4" s="26"/>
      <c r="J4" s="26"/>
      <c r="K4" s="26"/>
      <c r="L4" s="26"/>
      <c r="M4" s="26"/>
    </row>
    <row r="5" spans="1:13" ht="12.75" customHeight="1" x14ac:dyDescent="0.2">
      <c r="A5" s="11"/>
      <c r="B5" s="67" t="s">
        <v>23</v>
      </c>
      <c r="C5" s="26"/>
      <c r="D5" s="26"/>
      <c r="E5" s="26"/>
      <c r="F5" s="26"/>
      <c r="G5" s="26"/>
      <c r="H5" s="26"/>
      <c r="I5" s="26"/>
      <c r="J5" s="26"/>
      <c r="K5" s="26"/>
      <c r="L5" s="26"/>
      <c r="M5" s="26"/>
    </row>
    <row r="6" spans="1:13" ht="12.75" customHeight="1" x14ac:dyDescent="0.2">
      <c r="A6" s="11"/>
      <c r="B6" s="26"/>
      <c r="C6" s="26"/>
      <c r="D6" s="26"/>
      <c r="E6" s="26"/>
      <c r="F6" s="26"/>
      <c r="G6" s="26"/>
      <c r="H6" s="26"/>
      <c r="I6" s="26"/>
      <c r="J6" s="26"/>
      <c r="K6" s="26"/>
      <c r="L6" s="26"/>
      <c r="M6" s="26"/>
    </row>
    <row r="7" spans="1:13" ht="12.75" customHeight="1" x14ac:dyDescent="0.2"/>
    <row r="8" spans="1:13" ht="12.75" customHeight="1" x14ac:dyDescent="0.2"/>
    <row r="9" spans="1:13" ht="12.75" customHeight="1" x14ac:dyDescent="0.2"/>
    <row r="10" spans="1:13" ht="12.75" customHeight="1" x14ac:dyDescent="0.2"/>
    <row r="11" spans="1:13" ht="12.75" customHeight="1" x14ac:dyDescent="0.2"/>
    <row r="12" spans="1:13" ht="12.75" customHeight="1" x14ac:dyDescent="0.2"/>
    <row r="13" spans="1:13" ht="12.75" customHeight="1" x14ac:dyDescent="0.2"/>
    <row r="14" spans="1:13" ht="12.75" customHeight="1" x14ac:dyDescent="0.2"/>
    <row r="15" spans="1:13" ht="12.75" customHeight="1" x14ac:dyDescent="0.2"/>
    <row r="16" spans="1:13" ht="12.75" customHeight="1" x14ac:dyDescent="0.2"/>
    <row r="17" ht="12.75" customHeight="1" x14ac:dyDescent="0.2"/>
    <row r="18" ht="12.75" customHeight="1" x14ac:dyDescent="0.2"/>
    <row r="19" ht="12.75" customHeight="1" x14ac:dyDescent="0.2"/>
    <row r="20" ht="12.75" customHeight="1" x14ac:dyDescent="0.2"/>
    <row r="21" ht="12.75" customHeight="1" x14ac:dyDescent="0.2"/>
    <row r="22" ht="12.75" customHeight="1" x14ac:dyDescent="0.2"/>
    <row r="23" ht="12.75" customHeight="1" x14ac:dyDescent="0.2"/>
    <row r="24" ht="12.75" customHeight="1" x14ac:dyDescent="0.2"/>
    <row r="25" ht="12.75" customHeight="1" x14ac:dyDescent="0.2"/>
    <row r="26" ht="12.75" customHeight="1" x14ac:dyDescent="0.2"/>
    <row r="27" ht="12.75" customHeight="1" x14ac:dyDescent="0.2"/>
    <row r="28" ht="12.75" customHeight="1" x14ac:dyDescent="0.2"/>
    <row r="29" ht="12.75" customHeight="1" x14ac:dyDescent="0.2"/>
    <row r="30" ht="12.75" customHeight="1" x14ac:dyDescent="0.2"/>
    <row r="31" ht="12.75" customHeight="1" x14ac:dyDescent="0.2"/>
    <row r="32" ht="12.75" customHeight="1" x14ac:dyDescent="0.2"/>
    <row r="33" ht="12.75" customHeight="1" x14ac:dyDescent="0.2"/>
    <row r="34" ht="12.75" customHeight="1" x14ac:dyDescent="0.2"/>
    <row r="35" ht="12.75" customHeight="1" x14ac:dyDescent="0.2"/>
    <row r="36" ht="12.75" customHeight="1" x14ac:dyDescent="0.2"/>
    <row r="37" ht="12.75" customHeight="1" x14ac:dyDescent="0.2"/>
    <row r="38" ht="12.75" customHeight="1" x14ac:dyDescent="0.2"/>
    <row r="39" ht="12.75" customHeight="1" x14ac:dyDescent="0.2"/>
    <row r="40" ht="12.75" customHeight="1" x14ac:dyDescent="0.2"/>
    <row r="41" ht="12.75" customHeight="1" x14ac:dyDescent="0.2"/>
    <row r="42" ht="12.75" customHeight="1" x14ac:dyDescent="0.2"/>
    <row r="43" ht="12.75" customHeight="1" x14ac:dyDescent="0.2"/>
    <row r="44" ht="12.75" customHeight="1" x14ac:dyDescent="0.2"/>
    <row r="45" ht="12.75" customHeight="1" x14ac:dyDescent="0.2"/>
    <row r="46" ht="12.75" customHeight="1" x14ac:dyDescent="0.2"/>
    <row r="47" ht="12.75" customHeight="1" x14ac:dyDescent="0.2"/>
    <row r="48" ht="12.75" customHeight="1" x14ac:dyDescent="0.2"/>
    <row r="49" ht="12.75" customHeight="1" x14ac:dyDescent="0.2"/>
    <row r="50" ht="12.75" customHeight="1" x14ac:dyDescent="0.2"/>
    <row r="51" ht="12.75" customHeight="1" x14ac:dyDescent="0.2"/>
    <row r="52" ht="12.75" customHeight="1" x14ac:dyDescent="0.2"/>
    <row r="53" ht="12.75" customHeight="1" x14ac:dyDescent="0.2"/>
    <row r="54" ht="12.75" customHeight="1" x14ac:dyDescent="0.2"/>
    <row r="55" ht="12.75" customHeight="1" x14ac:dyDescent="0.2"/>
    <row r="56" ht="12.75" customHeight="1" x14ac:dyDescent="0.2"/>
    <row r="57" ht="12.75" customHeight="1" x14ac:dyDescent="0.2"/>
    <row r="58" ht="12.75" customHeight="1" x14ac:dyDescent="0.2"/>
    <row r="59" ht="12.75" customHeight="1" x14ac:dyDescent="0.2"/>
    <row r="60" ht="12.75" customHeight="1" x14ac:dyDescent="0.2"/>
    <row r="61" ht="12.75" customHeight="1" x14ac:dyDescent="0.2"/>
    <row r="62" ht="12.75" customHeight="1" x14ac:dyDescent="0.2"/>
    <row r="63" ht="12.75" customHeight="1" x14ac:dyDescent="0.2"/>
    <row r="64" ht="12.75" customHeight="1" x14ac:dyDescent="0.2"/>
    <row r="65" ht="12.75" customHeight="1" x14ac:dyDescent="0.2"/>
    <row r="66" ht="12.75" customHeight="1" x14ac:dyDescent="0.2"/>
    <row r="67" ht="12.75" customHeight="1" x14ac:dyDescent="0.2"/>
    <row r="68" ht="12.75" customHeight="1" x14ac:dyDescent="0.2"/>
    <row r="69" ht="12.75" customHeight="1" x14ac:dyDescent="0.2"/>
    <row r="70" ht="12.75" customHeight="1" x14ac:dyDescent="0.2"/>
    <row r="71" ht="12.75" customHeight="1" x14ac:dyDescent="0.2"/>
    <row r="72" ht="12.75" customHeight="1" x14ac:dyDescent="0.2"/>
    <row r="73" ht="12.75" customHeight="1" x14ac:dyDescent="0.2"/>
    <row r="74" ht="12.75" customHeight="1" x14ac:dyDescent="0.2"/>
    <row r="75" ht="12.75" customHeight="1" x14ac:dyDescent="0.2"/>
    <row r="76" ht="12.75" customHeight="1" x14ac:dyDescent="0.2"/>
    <row r="77" ht="12.75" customHeight="1" x14ac:dyDescent="0.2"/>
    <row r="78" ht="12.75" customHeight="1" x14ac:dyDescent="0.2"/>
    <row r="79" ht="12.75" customHeight="1" x14ac:dyDescent="0.2"/>
    <row r="80" ht="12.75" customHeight="1" x14ac:dyDescent="0.2"/>
    <row r="81" ht="12.75" customHeight="1" x14ac:dyDescent="0.2"/>
    <row r="82" ht="12.75" customHeight="1" x14ac:dyDescent="0.2"/>
    <row r="83" ht="12.75" customHeight="1" x14ac:dyDescent="0.2"/>
    <row r="84" ht="12.75" customHeight="1" x14ac:dyDescent="0.2"/>
    <row r="85" ht="12.75" customHeight="1" x14ac:dyDescent="0.2"/>
    <row r="86" ht="12.75" customHeight="1" x14ac:dyDescent="0.2"/>
    <row r="87" ht="12.75" customHeight="1" x14ac:dyDescent="0.2"/>
    <row r="88" ht="12.75" customHeight="1" x14ac:dyDescent="0.2"/>
    <row r="89" ht="12.75" customHeight="1" x14ac:dyDescent="0.2"/>
    <row r="90" ht="12.75" customHeight="1" x14ac:dyDescent="0.2"/>
    <row r="91" ht="12.75" customHeight="1" x14ac:dyDescent="0.2"/>
    <row r="92" ht="12.75" customHeight="1" x14ac:dyDescent="0.2"/>
    <row r="93" ht="12.75" customHeight="1" x14ac:dyDescent="0.2"/>
    <row r="94" ht="12.75" customHeight="1" x14ac:dyDescent="0.2"/>
    <row r="95" ht="12.75" customHeight="1" x14ac:dyDescent="0.2"/>
    <row r="96" ht="12.75" customHeight="1" x14ac:dyDescent="0.2"/>
    <row r="97" ht="12.75" customHeight="1" x14ac:dyDescent="0.2"/>
    <row r="98" ht="12.75" customHeight="1" x14ac:dyDescent="0.2"/>
    <row r="99" ht="12.75" customHeight="1" x14ac:dyDescent="0.2"/>
    <row r="100" ht="12.75" customHeight="1" x14ac:dyDescent="0.2"/>
    <row r="101" ht="12.75" customHeight="1" x14ac:dyDescent="0.2"/>
    <row r="102" ht="12.75" customHeight="1" x14ac:dyDescent="0.2"/>
    <row r="103" ht="12.75" customHeight="1" x14ac:dyDescent="0.2"/>
    <row r="104" ht="12.75" customHeight="1" x14ac:dyDescent="0.2"/>
    <row r="105" ht="12.75" customHeight="1" x14ac:dyDescent="0.2"/>
    <row r="106" ht="12.75" customHeight="1" x14ac:dyDescent="0.2"/>
    <row r="107" ht="12.75" customHeight="1" x14ac:dyDescent="0.2"/>
    <row r="108" ht="12.75" customHeight="1" x14ac:dyDescent="0.2"/>
    <row r="109" ht="12.75" customHeight="1" x14ac:dyDescent="0.2"/>
    <row r="110" ht="12.75" customHeight="1" x14ac:dyDescent="0.2"/>
    <row r="111" ht="12.75" customHeight="1" x14ac:dyDescent="0.2"/>
    <row r="112" ht="12.75" customHeight="1" x14ac:dyDescent="0.2"/>
    <row r="113" ht="12.75" customHeight="1" x14ac:dyDescent="0.2"/>
    <row r="114" ht="12.75" customHeight="1" x14ac:dyDescent="0.2"/>
    <row r="115" ht="12.75" customHeight="1" x14ac:dyDescent="0.2"/>
    <row r="116" ht="12.75" customHeight="1" x14ac:dyDescent="0.2"/>
    <row r="117" ht="12.75" customHeight="1" x14ac:dyDescent="0.2"/>
    <row r="118" ht="12.75" customHeight="1" x14ac:dyDescent="0.2"/>
    <row r="119" ht="12.75" customHeight="1" x14ac:dyDescent="0.2"/>
    <row r="120" ht="12.75" customHeight="1" x14ac:dyDescent="0.2"/>
    <row r="121" ht="12.75" customHeight="1" x14ac:dyDescent="0.2"/>
    <row r="122" ht="12.75" customHeight="1" x14ac:dyDescent="0.2"/>
    <row r="123" ht="12.75" customHeight="1" x14ac:dyDescent="0.2"/>
    <row r="124" ht="12.75" customHeight="1" x14ac:dyDescent="0.2"/>
    <row r="125" ht="12.75" customHeight="1" x14ac:dyDescent="0.2"/>
    <row r="126" ht="12.75" customHeight="1" x14ac:dyDescent="0.2"/>
    <row r="127" ht="12.75" customHeight="1" x14ac:dyDescent="0.2"/>
    <row r="128" ht="12.75" customHeight="1" x14ac:dyDescent="0.2"/>
    <row r="129" ht="12.75" customHeight="1" x14ac:dyDescent="0.2"/>
    <row r="130" ht="12.75" customHeight="1" x14ac:dyDescent="0.2"/>
    <row r="131" ht="12.75" customHeight="1" x14ac:dyDescent="0.2"/>
    <row r="132" ht="12.75" customHeight="1" x14ac:dyDescent="0.2"/>
    <row r="133" ht="12.75" customHeight="1" x14ac:dyDescent="0.2"/>
    <row r="134" ht="12.75" customHeight="1" x14ac:dyDescent="0.2"/>
    <row r="135" ht="12.75" customHeight="1" x14ac:dyDescent="0.2"/>
    <row r="136" ht="12.75" customHeight="1" x14ac:dyDescent="0.2"/>
    <row r="137" ht="12.75" customHeight="1" x14ac:dyDescent="0.2"/>
    <row r="138" ht="12.75" customHeight="1" x14ac:dyDescent="0.2"/>
    <row r="139" ht="12.75" customHeight="1" x14ac:dyDescent="0.2"/>
    <row r="140" ht="12.75" customHeight="1" x14ac:dyDescent="0.2"/>
    <row r="141" ht="12.75" customHeight="1" x14ac:dyDescent="0.2"/>
    <row r="142" ht="12.75" customHeight="1" x14ac:dyDescent="0.2"/>
    <row r="143" ht="12.75" customHeight="1" x14ac:dyDescent="0.2"/>
    <row r="144" ht="12.75" customHeight="1" x14ac:dyDescent="0.2"/>
    <row r="145" ht="12.75" customHeight="1" x14ac:dyDescent="0.2"/>
    <row r="146" ht="12.75" customHeight="1" x14ac:dyDescent="0.2"/>
    <row r="147" ht="12.75" customHeight="1" x14ac:dyDescent="0.2"/>
    <row r="148" ht="12.75" customHeight="1" x14ac:dyDescent="0.2"/>
    <row r="149" ht="12.75" customHeight="1" x14ac:dyDescent="0.2"/>
    <row r="150" ht="12.75" customHeight="1" x14ac:dyDescent="0.2"/>
    <row r="151" ht="12.75" customHeight="1" x14ac:dyDescent="0.2"/>
    <row r="152" ht="12.75" customHeight="1" x14ac:dyDescent="0.2"/>
    <row r="153" ht="12.75" customHeight="1" x14ac:dyDescent="0.2"/>
    <row r="154" ht="12.75" customHeight="1" x14ac:dyDescent="0.2"/>
    <row r="155" ht="12.75" customHeight="1" x14ac:dyDescent="0.2"/>
    <row r="156" ht="12.75" customHeight="1" x14ac:dyDescent="0.2"/>
    <row r="157" ht="12.75" customHeight="1" x14ac:dyDescent="0.2"/>
    <row r="158" ht="12.75" customHeight="1" x14ac:dyDescent="0.2"/>
    <row r="159" ht="12.75" customHeight="1" x14ac:dyDescent="0.2"/>
    <row r="160" ht="12.75" customHeight="1" x14ac:dyDescent="0.2"/>
    <row r="161" ht="12.75" customHeight="1" x14ac:dyDescent="0.2"/>
    <row r="162" ht="12.75" customHeight="1" x14ac:dyDescent="0.2"/>
    <row r="163" ht="12.75" customHeight="1" x14ac:dyDescent="0.2"/>
    <row r="164" ht="12.75" customHeight="1" x14ac:dyDescent="0.2"/>
    <row r="165" ht="12.75" customHeight="1" x14ac:dyDescent="0.2"/>
    <row r="166" ht="12.75" customHeight="1" x14ac:dyDescent="0.2"/>
    <row r="167" ht="12.75" customHeight="1" x14ac:dyDescent="0.2"/>
    <row r="168" ht="12.75" customHeight="1" x14ac:dyDescent="0.2"/>
    <row r="169" ht="12.75" customHeight="1" x14ac:dyDescent="0.2"/>
    <row r="170" ht="12.75" customHeight="1" x14ac:dyDescent="0.2"/>
    <row r="171" ht="12.75" customHeight="1" x14ac:dyDescent="0.2"/>
    <row r="172" ht="12.75" customHeight="1" x14ac:dyDescent="0.2"/>
    <row r="173" ht="12.75" customHeight="1" x14ac:dyDescent="0.2"/>
    <row r="174" ht="12.75" customHeight="1" x14ac:dyDescent="0.2"/>
    <row r="175" ht="12.75" customHeight="1" x14ac:dyDescent="0.2"/>
    <row r="176" ht="12.75" customHeight="1" x14ac:dyDescent="0.2"/>
    <row r="177" ht="12.75" customHeight="1" x14ac:dyDescent="0.2"/>
    <row r="178" ht="12.75" customHeight="1" x14ac:dyDescent="0.2"/>
    <row r="179" ht="12.75" customHeight="1" x14ac:dyDescent="0.2"/>
    <row r="180" ht="12.75" customHeight="1" x14ac:dyDescent="0.2"/>
    <row r="181" ht="12.75" customHeight="1" x14ac:dyDescent="0.2"/>
    <row r="182" ht="12.75" customHeight="1" x14ac:dyDescent="0.2"/>
    <row r="183" ht="12.75" customHeight="1" x14ac:dyDescent="0.2"/>
    <row r="184" ht="12.75" customHeight="1" x14ac:dyDescent="0.2"/>
    <row r="185" ht="12.75" customHeight="1" x14ac:dyDescent="0.2"/>
    <row r="186" ht="12.75" customHeight="1" x14ac:dyDescent="0.2"/>
    <row r="187" ht="12.75" customHeight="1" x14ac:dyDescent="0.2"/>
    <row r="188" ht="12.75" customHeight="1" x14ac:dyDescent="0.2"/>
    <row r="189" ht="12.75" customHeight="1" x14ac:dyDescent="0.2"/>
    <row r="190" ht="12.75" customHeight="1" x14ac:dyDescent="0.2"/>
    <row r="191" ht="12.75" customHeight="1" x14ac:dyDescent="0.2"/>
    <row r="192" ht="12.75" customHeight="1" x14ac:dyDescent="0.2"/>
    <row r="193" ht="12.75" customHeight="1" x14ac:dyDescent="0.2"/>
    <row r="194" ht="12.75" customHeight="1" x14ac:dyDescent="0.2"/>
    <row r="195" ht="12.75" customHeight="1" x14ac:dyDescent="0.2"/>
    <row r="196" ht="12.75" customHeight="1" x14ac:dyDescent="0.2"/>
    <row r="197" ht="12.75" customHeight="1" x14ac:dyDescent="0.2"/>
    <row r="198" ht="12.75" customHeight="1" x14ac:dyDescent="0.2"/>
    <row r="199" ht="12.75" customHeight="1" x14ac:dyDescent="0.2"/>
    <row r="200" ht="12.75" customHeight="1" x14ac:dyDescent="0.2"/>
    <row r="201" ht="12.75" customHeight="1" x14ac:dyDescent="0.2"/>
    <row r="202" ht="12.75" customHeight="1" x14ac:dyDescent="0.2"/>
    <row r="203" ht="12.75" customHeight="1" x14ac:dyDescent="0.2"/>
    <row r="204" ht="12.75" customHeight="1" x14ac:dyDescent="0.2"/>
    <row r="205" ht="12.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sheetData>
  <hyperlinks>
    <hyperlink ref="B2" location="null!A1" display="Rules" xr:uid="{00000000-0004-0000-0100-000000000000}"/>
    <hyperlink ref="B3" location="Roster!A1" display="Roster" xr:uid="{00000000-0004-0000-0100-000001000000}"/>
    <hyperlink ref="B4" location="'Last Man Paying'!A1" display="Last Man Paying" xr:uid="{00000000-0004-0000-0100-000002000000}"/>
    <hyperlink ref="B5" location="Budget!A1" display="Budget" xr:uid="{00000000-0004-0000-0100-000003000000}"/>
  </hyperlinks>
  <pageMargins left="0.7" right="0.7" top="0.75" bottom="0.75" header="0" footer="0"/>
  <pageSetup paperSize="9" orientation="portrait"/>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J226"/>
  <sheetViews>
    <sheetView showGridLines="0" topLeftCell="A7" workbookViewId="0">
      <selection activeCell="G33" sqref="G33"/>
    </sheetView>
  </sheetViews>
  <sheetFormatPr defaultColWidth="12.5703125" defaultRowHeight="11.25" outlineLevelCol="1" x14ac:dyDescent="0.2"/>
  <cols>
    <col min="1" max="1" width="2.28515625" style="8" customWidth="1"/>
    <col min="2" max="2" width="4" style="8" customWidth="1"/>
    <col min="3" max="3" width="21.42578125" style="8" customWidth="1"/>
    <col min="4" max="4" width="15.5703125" style="8" customWidth="1"/>
    <col min="5" max="5" width="16.42578125" style="8" customWidth="1" outlineLevel="1"/>
    <col min="6" max="6" width="20" style="8" customWidth="1" outlineLevel="1"/>
    <col min="7" max="8" width="12.42578125" style="8" customWidth="1" outlineLevel="1"/>
    <col min="9" max="9" width="17.7109375" style="8" customWidth="1"/>
    <col min="10" max="10" width="32.28515625" style="8" bestFit="1" customWidth="1"/>
    <col min="11" max="16384" width="12.5703125" style="8"/>
  </cols>
  <sheetData>
    <row r="1" spans="1:10" x14ac:dyDescent="0.2">
      <c r="A1" s="7"/>
      <c r="B1" s="7"/>
      <c r="C1" s="7"/>
      <c r="D1" s="7"/>
      <c r="E1" s="7"/>
      <c r="F1" s="7"/>
      <c r="G1" s="7"/>
      <c r="H1" s="7"/>
      <c r="I1" s="7"/>
      <c r="J1" s="7"/>
    </row>
    <row r="2" spans="1:10" x14ac:dyDescent="0.2">
      <c r="A2" s="7"/>
      <c r="B2" s="7"/>
      <c r="C2" s="7"/>
      <c r="D2" s="7"/>
      <c r="E2" s="7"/>
      <c r="F2" s="7"/>
      <c r="G2" s="7"/>
      <c r="H2" s="7"/>
      <c r="I2" s="7"/>
      <c r="J2" s="7"/>
    </row>
    <row r="3" spans="1:10" x14ac:dyDescent="0.2">
      <c r="A3" s="7"/>
      <c r="B3" s="7"/>
      <c r="C3" s="7"/>
      <c r="D3" s="7"/>
      <c r="E3" s="7"/>
      <c r="F3" s="7"/>
      <c r="G3" s="7"/>
      <c r="H3" s="7"/>
      <c r="I3" s="7"/>
      <c r="J3" s="7"/>
    </row>
    <row r="4" spans="1:10" x14ac:dyDescent="0.2">
      <c r="A4" s="7"/>
      <c r="B4" s="7"/>
      <c r="C4" s="7"/>
      <c r="D4" s="7"/>
      <c r="E4" s="7"/>
      <c r="F4" s="7"/>
      <c r="G4" s="7"/>
      <c r="H4" s="7"/>
      <c r="I4" s="7"/>
      <c r="J4" s="7"/>
    </row>
    <row r="5" spans="1:10" x14ac:dyDescent="0.2">
      <c r="A5" s="7"/>
      <c r="B5" s="7"/>
      <c r="C5" s="7"/>
      <c r="D5" s="7"/>
      <c r="E5" s="7"/>
      <c r="F5" s="7"/>
      <c r="G5" s="7"/>
      <c r="H5" s="7"/>
      <c r="I5" s="7"/>
      <c r="J5" s="7"/>
    </row>
    <row r="6" spans="1:10" x14ac:dyDescent="0.2">
      <c r="A6" s="7"/>
      <c r="B6" s="7"/>
      <c r="C6" s="7"/>
      <c r="D6" s="7"/>
      <c r="E6" s="7"/>
      <c r="F6" s="7"/>
      <c r="G6" s="7"/>
      <c r="H6" s="7"/>
      <c r="I6" s="7"/>
      <c r="J6" s="7"/>
    </row>
    <row r="7" spans="1:10" x14ac:dyDescent="0.2">
      <c r="A7" s="7"/>
      <c r="B7" s="7"/>
      <c r="C7" s="7"/>
      <c r="D7" s="7"/>
      <c r="E7" s="7"/>
      <c r="F7" s="7"/>
      <c r="G7" s="7"/>
      <c r="H7" s="7"/>
      <c r="I7" s="7"/>
      <c r="J7" s="7"/>
    </row>
    <row r="8" spans="1:10" s="57" customFormat="1" ht="25.5" x14ac:dyDescent="0.2">
      <c r="A8" s="55"/>
      <c r="B8" s="81" t="s">
        <v>24</v>
      </c>
      <c r="C8" s="84" t="s">
        <v>25</v>
      </c>
      <c r="D8" s="84" t="s">
        <v>26</v>
      </c>
      <c r="E8" s="84" t="s">
        <v>27</v>
      </c>
      <c r="F8" s="84" t="s">
        <v>28</v>
      </c>
      <c r="G8" s="84" t="s">
        <v>29</v>
      </c>
      <c r="H8" s="84" t="s">
        <v>30</v>
      </c>
      <c r="I8" s="82" t="s">
        <v>31</v>
      </c>
      <c r="J8" s="55"/>
    </row>
    <row r="9" spans="1:10" x14ac:dyDescent="0.2">
      <c r="A9" s="7"/>
      <c r="B9" s="12">
        <v>1</v>
      </c>
      <c r="C9" s="21" t="s">
        <v>32</v>
      </c>
      <c r="D9" s="54" t="s">
        <v>33</v>
      </c>
      <c r="E9" s="75">
        <f>'Funds Received'!J4</f>
        <v>700</v>
      </c>
      <c r="F9" s="58">
        <v>250</v>
      </c>
      <c r="G9" s="58">
        <f t="shared" ref="G9:G25" si="0">SUM(E9:F9)</f>
        <v>950</v>
      </c>
      <c r="H9" s="58">
        <f ca="1">VLOOKUP(Roster!C9,Budget!$B:$G,6,)-G9</f>
        <v>400</v>
      </c>
      <c r="I9" s="13">
        <f>COUNTIF('Last Man Paying 2.0'!$E$26:$E$156,Roster!D9)</f>
        <v>10</v>
      </c>
      <c r="J9" s="76" t="s">
        <v>34</v>
      </c>
    </row>
    <row r="10" spans="1:10" x14ac:dyDescent="0.2">
      <c r="A10" s="7"/>
      <c r="B10" s="12">
        <v>2</v>
      </c>
      <c r="C10" s="21" t="s">
        <v>35</v>
      </c>
      <c r="D10" s="54" t="s">
        <v>36</v>
      </c>
      <c r="E10" s="58">
        <f>'Funds Received'!I5+'Funds Received'!G5-Roster!F10</f>
        <v>700</v>
      </c>
      <c r="F10" s="58">
        <v>250</v>
      </c>
      <c r="G10" s="58">
        <f t="shared" si="0"/>
        <v>950</v>
      </c>
      <c r="H10" s="58">
        <f ca="1">VLOOKUP(Roster!C10,Budget!$B:$G,6,)-G10</f>
        <v>300</v>
      </c>
      <c r="I10" s="13">
        <f>COUNTIF('Last Man Paying 2.0'!$E$26:$E$156,Roster!D10)</f>
        <v>10</v>
      </c>
      <c r="J10" s="71"/>
    </row>
    <row r="11" spans="1:10" x14ac:dyDescent="0.2">
      <c r="A11" s="7"/>
      <c r="B11" s="12">
        <v>3</v>
      </c>
      <c r="C11" s="21" t="s">
        <v>37</v>
      </c>
      <c r="D11" s="54" t="s">
        <v>38</v>
      </c>
      <c r="E11" s="75">
        <f>'Funds Received'!J6</f>
        <v>200</v>
      </c>
      <c r="F11" s="59">
        <v>250</v>
      </c>
      <c r="G11" s="58">
        <f t="shared" si="0"/>
        <v>450</v>
      </c>
      <c r="H11" s="58">
        <f ca="1">VLOOKUP(Roster!C11,Budget!$B:$G,6,)-G11</f>
        <v>600</v>
      </c>
      <c r="I11" s="13">
        <f>COUNTIF('Last Man Paying 2.0'!$E$26:$E$156,Roster!D11)</f>
        <v>7</v>
      </c>
      <c r="J11" s="76" t="s">
        <v>34</v>
      </c>
    </row>
    <row r="12" spans="1:10" x14ac:dyDescent="0.2">
      <c r="A12" s="7"/>
      <c r="B12" s="12">
        <v>4</v>
      </c>
      <c r="C12" s="21" t="s">
        <v>39</v>
      </c>
      <c r="D12" s="54" t="s">
        <v>40</v>
      </c>
      <c r="E12" s="59">
        <f>'Funds Received'!J7</f>
        <v>100</v>
      </c>
      <c r="F12" s="59">
        <v>250</v>
      </c>
      <c r="G12" s="58">
        <f t="shared" si="0"/>
        <v>350</v>
      </c>
      <c r="H12" s="58">
        <f ca="1">VLOOKUP(Roster!C12,Budget!$B:$G,6,)-G12</f>
        <v>200</v>
      </c>
      <c r="I12" s="13">
        <f>COUNTIF('Last Man Paying 2.0'!$E$26:$E$156,Roster!D12)</f>
        <v>3</v>
      </c>
      <c r="J12" s="71"/>
    </row>
    <row r="13" spans="1:10" x14ac:dyDescent="0.2">
      <c r="A13" s="7"/>
      <c r="B13" s="12">
        <v>5</v>
      </c>
      <c r="C13" s="21" t="s">
        <v>41</v>
      </c>
      <c r="D13" s="54" t="s">
        <v>42</v>
      </c>
      <c r="E13" s="58">
        <f>'Funds Received'!J8</f>
        <v>700</v>
      </c>
      <c r="F13" s="59">
        <v>250</v>
      </c>
      <c r="G13" s="58">
        <f t="shared" si="0"/>
        <v>950</v>
      </c>
      <c r="H13" s="58">
        <f ca="1">VLOOKUP(Roster!C13,Budget!$B:$G,6,)-G13</f>
        <v>500</v>
      </c>
      <c r="I13" s="13">
        <f>COUNTIF('Last Man Paying 2.0'!$E$26:$E$156,Roster!D13)</f>
        <v>13</v>
      </c>
      <c r="J13" s="71"/>
    </row>
    <row r="14" spans="1:10" x14ac:dyDescent="0.2">
      <c r="A14" s="7"/>
      <c r="B14" s="12">
        <v>6</v>
      </c>
      <c r="C14" s="21" t="s">
        <v>43</v>
      </c>
      <c r="D14" s="54" t="s">
        <v>44</v>
      </c>
      <c r="E14" s="58">
        <f>'Funds Received'!J9+'Funds Received'!I9</f>
        <v>300</v>
      </c>
      <c r="F14" s="59">
        <v>250</v>
      </c>
      <c r="G14" s="58">
        <f t="shared" si="0"/>
        <v>550</v>
      </c>
      <c r="H14" s="58">
        <f ca="1">VLOOKUP(Roster!C14,Budget!$B:$G,6,)-G14</f>
        <v>100</v>
      </c>
      <c r="I14" s="13">
        <f>COUNTIF('Last Man Paying 2.0'!$E$26:$E$156,Roster!D14)</f>
        <v>5</v>
      </c>
      <c r="J14" s="71"/>
    </row>
    <row r="15" spans="1:10" x14ac:dyDescent="0.2">
      <c r="A15" s="7"/>
      <c r="B15" s="12">
        <v>7</v>
      </c>
      <c r="C15" s="21" t="s">
        <v>45</v>
      </c>
      <c r="D15" s="54" t="s">
        <v>46</v>
      </c>
      <c r="E15" s="75">
        <f>'Funds Received'!I10+'Funds Received'!M10</f>
        <v>500</v>
      </c>
      <c r="F15" s="59">
        <v>250</v>
      </c>
      <c r="G15" s="58">
        <f t="shared" si="0"/>
        <v>750</v>
      </c>
      <c r="H15" s="58">
        <f ca="1">VLOOKUP(Roster!C15,Budget!$B:$G,6,)-G15</f>
        <v>200</v>
      </c>
      <c r="I15" s="13">
        <f>COUNTIF('Last Man Paying 2.0'!$E$26:$E$156,Roster!D15)</f>
        <v>7</v>
      </c>
      <c r="J15" s="71"/>
    </row>
    <row r="16" spans="1:10" x14ac:dyDescent="0.2">
      <c r="A16" s="7"/>
      <c r="B16" s="12">
        <v>8</v>
      </c>
      <c r="C16" s="21" t="s">
        <v>47</v>
      </c>
      <c r="D16" s="54" t="s">
        <v>48</v>
      </c>
      <c r="E16" s="75">
        <f>'Funds Received'!J11</f>
        <v>400</v>
      </c>
      <c r="F16" s="59">
        <v>250</v>
      </c>
      <c r="G16" s="58">
        <f t="shared" si="0"/>
        <v>650</v>
      </c>
      <c r="H16" s="58">
        <f ca="1">VLOOKUP(Roster!C16,Budget!$B:$G,6,)-G16</f>
        <v>400</v>
      </c>
      <c r="I16" s="13">
        <f>COUNTIF('Last Man Paying 2.0'!$E$26:$E$156,Roster!D16)</f>
        <v>7</v>
      </c>
      <c r="J16" s="76" t="s">
        <v>34</v>
      </c>
    </row>
    <row r="17" spans="1:10" x14ac:dyDescent="0.2">
      <c r="A17" s="7"/>
      <c r="B17" s="86">
        <v>9</v>
      </c>
      <c r="C17" s="87" t="s">
        <v>49</v>
      </c>
      <c r="D17" s="92" t="s">
        <v>50</v>
      </c>
      <c r="E17" s="89">
        <f>'Funds Received'!O12</f>
        <v>0</v>
      </c>
      <c r="F17" s="88">
        <v>0</v>
      </c>
      <c r="G17" s="89">
        <f t="shared" si="0"/>
        <v>0</v>
      </c>
      <c r="H17" s="89">
        <f ca="1">VLOOKUP(Roster!C17,Budget!$B:$G,6,)-G17</f>
        <v>2150</v>
      </c>
      <c r="I17" s="90">
        <f>COUNTIF('Last Man Paying 2.0'!$E$26:$E$156,Roster!D17)</f>
        <v>5</v>
      </c>
      <c r="J17" s="91" t="s">
        <v>51</v>
      </c>
    </row>
    <row r="18" spans="1:10" x14ac:dyDescent="0.2">
      <c r="A18" s="7"/>
      <c r="B18" s="12">
        <v>10</v>
      </c>
      <c r="C18" s="21" t="s">
        <v>52</v>
      </c>
      <c r="D18" s="54" t="s">
        <v>53</v>
      </c>
      <c r="E18" s="58">
        <f>'Funds Received'!H13+'Funds Received'!I13+'Funds Received'!K13</f>
        <v>400</v>
      </c>
      <c r="F18" s="59">
        <v>250</v>
      </c>
      <c r="G18" s="58">
        <f t="shared" si="0"/>
        <v>650</v>
      </c>
      <c r="H18" s="58">
        <f ca="1">VLOOKUP(Roster!C18,Budget!$B:$G,6,)-G18</f>
        <v>0</v>
      </c>
      <c r="I18" s="13">
        <f>COUNTIF('Last Man Paying 2.0'!$E$26:$E$156,Roster!D18)</f>
        <v>3</v>
      </c>
      <c r="J18" s="71" t="s">
        <v>54</v>
      </c>
    </row>
    <row r="19" spans="1:10" x14ac:dyDescent="0.2">
      <c r="A19" s="7"/>
      <c r="B19" s="12">
        <v>11</v>
      </c>
      <c r="C19" s="21" t="s">
        <v>55</v>
      </c>
      <c r="D19" s="54" t="s">
        <v>56</v>
      </c>
      <c r="E19" s="59">
        <f>'Funds Received'!I14</f>
        <v>700</v>
      </c>
      <c r="F19" s="59">
        <v>250</v>
      </c>
      <c r="G19" s="58">
        <f t="shared" si="0"/>
        <v>950</v>
      </c>
      <c r="H19" s="58">
        <f ca="1">VLOOKUP(Roster!C19,Budget!$B:$G,6,)-G19</f>
        <v>100</v>
      </c>
      <c r="I19" s="13">
        <f>COUNTIF('Last Man Paying 2.0'!$E$26:$E$156,Roster!D19)</f>
        <v>8</v>
      </c>
      <c r="J19" s="71"/>
    </row>
    <row r="20" spans="1:10" x14ac:dyDescent="0.2">
      <c r="A20" s="7"/>
      <c r="B20" s="12">
        <v>12</v>
      </c>
      <c r="C20" s="21" t="s">
        <v>57</v>
      </c>
      <c r="D20" s="54" t="s">
        <v>58</v>
      </c>
      <c r="E20" s="58">
        <f>'Funds Received'!I15+'Funds Received'!K15</f>
        <v>700</v>
      </c>
      <c r="F20" s="59">
        <v>250</v>
      </c>
      <c r="G20" s="58">
        <f t="shared" si="0"/>
        <v>950</v>
      </c>
      <c r="H20" s="58">
        <f ca="1">VLOOKUP(Roster!C20,Budget!$B:$G,6,)-G20</f>
        <v>300</v>
      </c>
      <c r="I20" s="13">
        <f>COUNTIF('Last Man Paying 2.0'!$E$26:$E$156,Roster!D20)</f>
        <v>10</v>
      </c>
      <c r="J20" s="71"/>
    </row>
    <row r="21" spans="1:10" x14ac:dyDescent="0.2">
      <c r="A21" s="7"/>
      <c r="B21" s="12">
        <v>13</v>
      </c>
      <c r="C21" s="21" t="s">
        <v>59</v>
      </c>
      <c r="D21" s="54" t="s">
        <v>60</v>
      </c>
      <c r="E21" s="75">
        <f>'Funds Received'!J16</f>
        <v>200</v>
      </c>
      <c r="F21" s="59">
        <v>250</v>
      </c>
      <c r="G21" s="58">
        <f t="shared" si="0"/>
        <v>450</v>
      </c>
      <c r="H21" s="58">
        <f ca="1">VLOOKUP(Roster!C21,Budget!$B:$G,6,)-G21</f>
        <v>0</v>
      </c>
      <c r="I21" s="13">
        <f>COUNTIF('Last Man Paying 2.0'!$E$26:$E$156,Roster!D21)</f>
        <v>1</v>
      </c>
      <c r="J21" s="76" t="s">
        <v>34</v>
      </c>
    </row>
    <row r="22" spans="1:10" x14ac:dyDescent="0.2">
      <c r="A22" s="7"/>
      <c r="B22" s="12">
        <v>14</v>
      </c>
      <c r="C22" s="21" t="s">
        <v>61</v>
      </c>
      <c r="D22" s="54" t="s">
        <v>62</v>
      </c>
      <c r="E22" s="58">
        <f>'Funds Received'!I17</f>
        <v>750</v>
      </c>
      <c r="F22" s="59">
        <v>250</v>
      </c>
      <c r="G22" s="58">
        <f t="shared" si="0"/>
        <v>1000</v>
      </c>
      <c r="H22" s="58">
        <f ca="1">VLOOKUP(Roster!C22,Budget!$B:$G,6,)-G22</f>
        <v>550</v>
      </c>
      <c r="I22" s="13">
        <f>COUNTIF('Last Man Paying 2.0'!$E$26:$E$156,Roster!D22)</f>
        <v>13</v>
      </c>
      <c r="J22" s="71"/>
    </row>
    <row r="23" spans="1:10" x14ac:dyDescent="0.2">
      <c r="A23" s="7"/>
      <c r="B23" s="12">
        <v>15</v>
      </c>
      <c r="C23" s="21" t="s">
        <v>63</v>
      </c>
      <c r="D23" s="85" t="s">
        <v>64</v>
      </c>
      <c r="E23" s="58">
        <f>'Funds Received'!I18</f>
        <v>400</v>
      </c>
      <c r="F23" s="59">
        <v>250</v>
      </c>
      <c r="G23" s="58">
        <f t="shared" si="0"/>
        <v>650</v>
      </c>
      <c r="H23" s="58">
        <f ca="1">VLOOKUP(Roster!C23,Budget!$B:$G,6,)-G23</f>
        <v>700</v>
      </c>
      <c r="I23" s="13">
        <f>COUNTIF('Last Man Paying 2.0'!$E$26:$E$156,Roster!D23)</f>
        <v>9</v>
      </c>
      <c r="J23" s="76" t="s">
        <v>51</v>
      </c>
    </row>
    <row r="24" spans="1:10" x14ac:dyDescent="0.2">
      <c r="A24" s="7"/>
      <c r="B24" s="12">
        <v>16</v>
      </c>
      <c r="C24" s="21" t="s">
        <v>65</v>
      </c>
      <c r="D24" s="85" t="s">
        <v>66</v>
      </c>
      <c r="E24" s="58">
        <f>'Funds Received'!M19+'Funds Received'!J19-Roster!F24</f>
        <v>800</v>
      </c>
      <c r="F24" s="59">
        <v>250</v>
      </c>
      <c r="G24" s="58">
        <f t="shared" si="0"/>
        <v>1050</v>
      </c>
      <c r="H24" s="58">
        <f ca="1">VLOOKUP(Roster!C24,Budget!$B:$G,6,)-G24</f>
        <v>100</v>
      </c>
      <c r="I24" s="13">
        <f>COUNTIF('Last Man Paying 2.0'!$E$26:$E$156,Roster!D24)</f>
        <v>8</v>
      </c>
      <c r="J24" s="76" t="s">
        <v>51</v>
      </c>
    </row>
    <row r="25" spans="1:10" x14ac:dyDescent="0.2">
      <c r="A25" s="7"/>
      <c r="B25" s="12">
        <v>17</v>
      </c>
      <c r="C25" s="21" t="s">
        <v>67</v>
      </c>
      <c r="D25" s="54" t="s">
        <v>68</v>
      </c>
      <c r="E25" s="75">
        <v>0</v>
      </c>
      <c r="F25" s="58">
        <v>250</v>
      </c>
      <c r="G25" s="58">
        <f t="shared" si="0"/>
        <v>250</v>
      </c>
      <c r="H25" s="58">
        <f ca="1">VLOOKUP(Roster!C25,Budget!$B:$G,6,)-G25</f>
        <v>0</v>
      </c>
      <c r="I25" s="13">
        <f>COUNTIF('Last Man Paying 2.0'!$E$26:$E$156,Roster!D25)</f>
        <v>0</v>
      </c>
      <c r="J25" s="71"/>
    </row>
    <row r="26" spans="1:10" ht="12" thickBot="1" x14ac:dyDescent="0.25">
      <c r="A26" s="7"/>
      <c r="E26" s="70">
        <f>SUM(E9:E25)</f>
        <v>7550</v>
      </c>
      <c r="F26" s="70">
        <f>SUM(F9:F25)</f>
        <v>4000</v>
      </c>
      <c r="G26" s="80"/>
      <c r="H26" s="80">
        <f ca="1">SUM(H9:H25)</f>
        <v>6600</v>
      </c>
      <c r="I26" s="7"/>
      <c r="J26" s="7"/>
    </row>
    <row r="27" spans="1:10" x14ac:dyDescent="0.2">
      <c r="A27" s="7"/>
      <c r="E27" s="7"/>
      <c r="F27" s="7"/>
      <c r="G27" s="7"/>
      <c r="H27" s="7"/>
      <c r="I27" s="7"/>
      <c r="J27" s="7"/>
    </row>
    <row r="28" spans="1:10" x14ac:dyDescent="0.2">
      <c r="A28" s="7"/>
      <c r="E28" s="7"/>
      <c r="F28" s="7"/>
      <c r="G28" s="7"/>
      <c r="H28" s="7"/>
      <c r="I28" s="7"/>
      <c r="J28" s="7"/>
    </row>
    <row r="29" spans="1:10" x14ac:dyDescent="0.2">
      <c r="A29" s="7"/>
      <c r="E29" s="7"/>
      <c r="F29" s="7"/>
      <c r="G29" s="7"/>
      <c r="H29" s="7"/>
      <c r="I29" s="7"/>
      <c r="J29" s="7"/>
    </row>
    <row r="30" spans="1:10" x14ac:dyDescent="0.2">
      <c r="A30" s="7"/>
      <c r="E30" s="7"/>
      <c r="F30" s="7"/>
      <c r="G30" s="7"/>
      <c r="H30" s="7"/>
      <c r="I30" s="7"/>
      <c r="J30" s="7"/>
    </row>
    <row r="31" spans="1:10" x14ac:dyDescent="0.2">
      <c r="A31" s="7"/>
      <c r="E31" s="7"/>
      <c r="F31" s="7"/>
      <c r="G31" s="7"/>
      <c r="H31" s="7"/>
      <c r="I31" s="7"/>
      <c r="J31" s="7"/>
    </row>
    <row r="32" spans="1:10" x14ac:dyDescent="0.2">
      <c r="A32" s="7"/>
      <c r="E32" s="7"/>
      <c r="F32" s="7"/>
      <c r="G32" s="7"/>
      <c r="H32" s="7"/>
      <c r="I32" s="7"/>
      <c r="J32" s="7"/>
    </row>
    <row r="33" spans="1:10" x14ac:dyDescent="0.2">
      <c r="A33" s="7"/>
      <c r="E33" s="7"/>
      <c r="F33" s="7"/>
      <c r="G33" s="7"/>
      <c r="H33" s="7"/>
      <c r="I33" s="7"/>
      <c r="J33" s="7"/>
    </row>
    <row r="34" spans="1:10" x14ac:dyDescent="0.2">
      <c r="A34" s="7"/>
      <c r="E34" s="7"/>
      <c r="F34" s="7"/>
      <c r="G34" s="7"/>
      <c r="H34" s="7"/>
      <c r="I34" s="7"/>
      <c r="J34" s="7"/>
    </row>
    <row r="35" spans="1:10" x14ac:dyDescent="0.2">
      <c r="A35" s="7"/>
      <c r="E35" s="7"/>
      <c r="F35" s="7"/>
      <c r="G35" s="7"/>
      <c r="H35" s="7"/>
      <c r="I35" s="7"/>
      <c r="J35" s="7"/>
    </row>
    <row r="36" spans="1:10" x14ac:dyDescent="0.2">
      <c r="A36" s="7"/>
      <c r="E36" s="7"/>
      <c r="F36" s="7"/>
      <c r="G36" s="7"/>
      <c r="H36" s="7"/>
      <c r="I36" s="7"/>
      <c r="J36" s="7"/>
    </row>
    <row r="37" spans="1:10" x14ac:dyDescent="0.2">
      <c r="A37" s="7"/>
      <c r="E37" s="7"/>
      <c r="F37" s="7"/>
      <c r="G37" s="7"/>
      <c r="H37" s="7"/>
      <c r="I37" s="7"/>
      <c r="J37" s="7"/>
    </row>
    <row r="38" spans="1:10" x14ac:dyDescent="0.2">
      <c r="A38" s="7"/>
      <c r="E38" s="7"/>
      <c r="F38" s="7"/>
      <c r="G38" s="7"/>
      <c r="H38" s="7"/>
      <c r="I38" s="7"/>
      <c r="J38" s="7"/>
    </row>
    <row r="39" spans="1:10" x14ac:dyDescent="0.2">
      <c r="A39" s="7"/>
      <c r="E39" s="7"/>
      <c r="F39" s="7"/>
      <c r="G39" s="7"/>
      <c r="H39" s="7"/>
      <c r="I39" s="7"/>
      <c r="J39" s="7"/>
    </row>
    <row r="40" spans="1:10" x14ac:dyDescent="0.2">
      <c r="A40" s="7"/>
      <c r="E40" s="7"/>
      <c r="F40" s="7"/>
      <c r="G40" s="7"/>
      <c r="H40" s="7"/>
      <c r="I40" s="7"/>
      <c r="J40" s="7"/>
    </row>
    <row r="41" spans="1:10" x14ac:dyDescent="0.2">
      <c r="A41" s="7"/>
      <c r="B41" s="7"/>
      <c r="C41" s="7"/>
      <c r="D41" s="7"/>
      <c r="E41" s="7"/>
      <c r="F41" s="7"/>
      <c r="G41" s="7"/>
      <c r="H41" s="7"/>
      <c r="I41" s="7"/>
      <c r="J41" s="7"/>
    </row>
    <row r="42" spans="1:10" x14ac:dyDescent="0.2">
      <c r="A42" s="7"/>
      <c r="B42" s="7"/>
      <c r="C42" s="7"/>
      <c r="D42" s="7"/>
      <c r="E42" s="7"/>
      <c r="F42" s="7"/>
      <c r="G42" s="7"/>
      <c r="H42" s="7"/>
      <c r="I42" s="7"/>
      <c r="J42" s="7"/>
    </row>
    <row r="43" spans="1:10" x14ac:dyDescent="0.2">
      <c r="A43" s="7"/>
      <c r="B43" s="7"/>
      <c r="C43" s="7"/>
      <c r="D43" s="7"/>
      <c r="E43" s="7"/>
      <c r="F43" s="7"/>
      <c r="G43" s="7"/>
      <c r="H43" s="7"/>
      <c r="I43" s="7"/>
      <c r="J43" s="7"/>
    </row>
    <row r="44" spans="1:10" x14ac:dyDescent="0.2">
      <c r="A44" s="7"/>
      <c r="B44" s="7"/>
      <c r="C44" s="7"/>
      <c r="D44" s="7"/>
      <c r="E44" s="7"/>
      <c r="F44" s="7"/>
      <c r="G44" s="7"/>
      <c r="H44" s="7"/>
      <c r="I44" s="7"/>
      <c r="J44" s="7"/>
    </row>
    <row r="45" spans="1:10" x14ac:dyDescent="0.2">
      <c r="A45" s="7"/>
      <c r="B45" s="7"/>
      <c r="C45" s="7"/>
      <c r="D45" s="7"/>
      <c r="E45" s="7"/>
      <c r="F45" s="7"/>
      <c r="G45" s="7"/>
      <c r="H45" s="7"/>
      <c r="I45" s="7"/>
      <c r="J45" s="7"/>
    </row>
    <row r="46" spans="1:10" x14ac:dyDescent="0.2">
      <c r="A46" s="7"/>
      <c r="B46" s="7"/>
      <c r="C46" s="7"/>
      <c r="D46" s="7"/>
      <c r="E46" s="7"/>
      <c r="F46" s="7"/>
      <c r="G46" s="7"/>
      <c r="H46" s="7"/>
      <c r="I46" s="7"/>
      <c r="J46" s="7"/>
    </row>
    <row r="47" spans="1:10" x14ac:dyDescent="0.2">
      <c r="A47" s="7"/>
      <c r="B47" s="7"/>
      <c r="C47" s="7"/>
      <c r="D47" s="7"/>
      <c r="E47" s="7"/>
      <c r="F47" s="7"/>
      <c r="G47" s="7"/>
      <c r="H47" s="7"/>
      <c r="I47" s="7"/>
      <c r="J47" s="7"/>
    </row>
    <row r="48" spans="1:10" x14ac:dyDescent="0.2">
      <c r="A48" s="7"/>
      <c r="B48" s="7"/>
      <c r="C48" s="7"/>
      <c r="D48" s="7"/>
      <c r="E48" s="7"/>
      <c r="F48" s="7"/>
      <c r="G48" s="7"/>
      <c r="H48" s="7"/>
      <c r="I48" s="7"/>
      <c r="J48" s="7"/>
    </row>
    <row r="49" spans="1:10" x14ac:dyDescent="0.2">
      <c r="A49" s="7"/>
      <c r="B49" s="7"/>
      <c r="C49" s="7"/>
      <c r="D49" s="7"/>
      <c r="E49" s="7"/>
      <c r="F49" s="7"/>
      <c r="G49" s="7"/>
      <c r="H49" s="7"/>
      <c r="I49" s="7"/>
      <c r="J49" s="7"/>
    </row>
    <row r="50" spans="1:10" x14ac:dyDescent="0.2">
      <c r="A50" s="7"/>
      <c r="B50" s="7"/>
      <c r="C50" s="7"/>
      <c r="D50" s="7"/>
      <c r="E50" s="7"/>
      <c r="F50" s="7"/>
      <c r="G50" s="7"/>
      <c r="H50" s="7"/>
      <c r="I50" s="7"/>
      <c r="J50" s="7"/>
    </row>
    <row r="51" spans="1:10" x14ac:dyDescent="0.2">
      <c r="A51" s="7"/>
      <c r="B51" s="7"/>
      <c r="C51" s="7"/>
      <c r="D51" s="7"/>
      <c r="E51" s="7"/>
      <c r="F51" s="7"/>
      <c r="G51" s="7"/>
      <c r="H51" s="7"/>
      <c r="I51" s="7"/>
      <c r="J51" s="7"/>
    </row>
    <row r="52" spans="1:10" x14ac:dyDescent="0.2">
      <c r="A52" s="7"/>
      <c r="B52" s="7"/>
      <c r="C52" s="7"/>
      <c r="D52" s="7"/>
      <c r="E52" s="7"/>
      <c r="F52" s="7"/>
      <c r="G52" s="7"/>
      <c r="H52" s="7"/>
      <c r="I52" s="7"/>
      <c r="J52" s="7"/>
    </row>
    <row r="53" spans="1:10" x14ac:dyDescent="0.2">
      <c r="A53" s="7"/>
      <c r="B53" s="7"/>
      <c r="C53" s="7"/>
      <c r="D53" s="7"/>
      <c r="E53" s="7"/>
      <c r="F53" s="7"/>
      <c r="G53" s="7"/>
      <c r="H53" s="7"/>
      <c r="I53" s="7"/>
      <c r="J53" s="7"/>
    </row>
    <row r="54" spans="1:10" x14ac:dyDescent="0.2">
      <c r="A54" s="7"/>
      <c r="B54" s="7"/>
      <c r="C54" s="7"/>
      <c r="D54" s="7"/>
      <c r="E54" s="7"/>
      <c r="F54" s="7"/>
      <c r="G54" s="7"/>
      <c r="H54" s="7"/>
      <c r="I54" s="7"/>
      <c r="J54" s="7"/>
    </row>
    <row r="55" spans="1:10" x14ac:dyDescent="0.2">
      <c r="A55" s="7"/>
      <c r="B55" s="7"/>
      <c r="C55" s="7"/>
      <c r="D55" s="7"/>
      <c r="E55" s="7"/>
      <c r="F55" s="7"/>
      <c r="G55" s="7"/>
      <c r="H55" s="7"/>
      <c r="I55" s="7"/>
      <c r="J55" s="7"/>
    </row>
    <row r="56" spans="1:10" x14ac:dyDescent="0.2">
      <c r="A56" s="7"/>
      <c r="B56" s="7"/>
      <c r="C56" s="7"/>
      <c r="D56" s="7"/>
      <c r="E56" s="7"/>
      <c r="F56" s="7"/>
      <c r="G56" s="7"/>
      <c r="H56" s="7"/>
      <c r="I56" s="7"/>
      <c r="J56" s="7"/>
    </row>
    <row r="57" spans="1:10" x14ac:dyDescent="0.2">
      <c r="A57" s="7"/>
      <c r="B57" s="7"/>
      <c r="C57" s="7"/>
      <c r="D57" s="7"/>
      <c r="E57" s="7"/>
      <c r="F57" s="7"/>
      <c r="G57" s="7"/>
      <c r="H57" s="7"/>
      <c r="I57" s="7"/>
      <c r="J57" s="7"/>
    </row>
    <row r="58" spans="1:10" x14ac:dyDescent="0.2">
      <c r="A58" s="7"/>
      <c r="B58" s="7"/>
      <c r="C58" s="7"/>
      <c r="D58" s="7"/>
      <c r="E58" s="7"/>
      <c r="F58" s="7"/>
      <c r="G58" s="7"/>
      <c r="H58" s="7"/>
      <c r="I58" s="7"/>
      <c r="J58" s="7"/>
    </row>
    <row r="59" spans="1:10" x14ac:dyDescent="0.2">
      <c r="A59" s="7"/>
      <c r="B59" s="7"/>
      <c r="C59" s="7"/>
      <c r="D59" s="7"/>
      <c r="E59" s="7"/>
      <c r="F59" s="7"/>
      <c r="G59" s="7"/>
      <c r="H59" s="7"/>
      <c r="I59" s="7"/>
      <c r="J59" s="7"/>
    </row>
    <row r="60" spans="1:10" x14ac:dyDescent="0.2">
      <c r="A60" s="7"/>
      <c r="B60" s="7"/>
      <c r="C60" s="7"/>
      <c r="D60" s="7"/>
      <c r="E60" s="7"/>
      <c r="F60" s="7"/>
      <c r="G60" s="7"/>
      <c r="H60" s="7"/>
      <c r="I60" s="7"/>
      <c r="J60" s="7"/>
    </row>
    <row r="61" spans="1:10" x14ac:dyDescent="0.2">
      <c r="A61" s="7"/>
      <c r="B61" s="7"/>
      <c r="C61" s="7"/>
      <c r="D61" s="7"/>
      <c r="E61" s="7"/>
      <c r="F61" s="7"/>
      <c r="G61" s="7"/>
      <c r="H61" s="7"/>
      <c r="I61" s="7"/>
      <c r="J61" s="7"/>
    </row>
    <row r="62" spans="1:10" x14ac:dyDescent="0.2">
      <c r="A62" s="7"/>
      <c r="B62" s="7"/>
      <c r="C62" s="7"/>
      <c r="D62" s="7"/>
      <c r="E62" s="7"/>
      <c r="F62" s="7"/>
      <c r="G62" s="7"/>
      <c r="H62" s="7"/>
      <c r="I62" s="7"/>
      <c r="J62" s="7"/>
    </row>
    <row r="63" spans="1:10" x14ac:dyDescent="0.2">
      <c r="A63" s="7"/>
      <c r="B63" s="7"/>
      <c r="C63" s="7"/>
      <c r="D63" s="7"/>
      <c r="E63" s="7"/>
      <c r="F63" s="7"/>
      <c r="G63" s="7"/>
      <c r="H63" s="7"/>
      <c r="I63" s="7"/>
      <c r="J63" s="7"/>
    </row>
    <row r="64" spans="1:10" x14ac:dyDescent="0.2">
      <c r="A64" s="7"/>
      <c r="B64" s="7"/>
      <c r="C64" s="7"/>
      <c r="D64" s="7"/>
      <c r="E64" s="7"/>
      <c r="F64" s="7"/>
      <c r="G64" s="7"/>
      <c r="H64" s="7"/>
      <c r="I64" s="7"/>
      <c r="J64" s="7"/>
    </row>
    <row r="65" spans="1:10" x14ac:dyDescent="0.2">
      <c r="A65" s="7"/>
      <c r="B65" s="7"/>
      <c r="C65" s="7"/>
      <c r="D65" s="7"/>
      <c r="E65" s="7"/>
      <c r="F65" s="7"/>
      <c r="G65" s="7"/>
      <c r="H65" s="7"/>
      <c r="I65" s="7"/>
      <c r="J65" s="7"/>
    </row>
    <row r="66" spans="1:10" x14ac:dyDescent="0.2">
      <c r="A66" s="7"/>
      <c r="B66" s="7"/>
      <c r="C66" s="7"/>
      <c r="D66" s="7"/>
      <c r="E66" s="7"/>
      <c r="F66" s="7"/>
      <c r="G66" s="7"/>
      <c r="H66" s="7"/>
      <c r="I66" s="7"/>
      <c r="J66" s="7"/>
    </row>
    <row r="67" spans="1:10" x14ac:dyDescent="0.2">
      <c r="A67" s="7"/>
      <c r="B67" s="7"/>
      <c r="C67" s="7"/>
      <c r="D67" s="7"/>
      <c r="E67" s="7"/>
      <c r="F67" s="7"/>
      <c r="G67" s="7"/>
      <c r="H67" s="7"/>
      <c r="I67" s="7"/>
      <c r="J67" s="7"/>
    </row>
    <row r="68" spans="1:10" x14ac:dyDescent="0.2">
      <c r="A68" s="7"/>
      <c r="B68" s="7"/>
      <c r="C68" s="7"/>
      <c r="D68" s="7"/>
      <c r="E68" s="7"/>
      <c r="F68" s="7"/>
      <c r="G68" s="7"/>
      <c r="H68" s="7"/>
      <c r="I68" s="7"/>
      <c r="J68" s="7"/>
    </row>
    <row r="69" spans="1:10" x14ac:dyDescent="0.2">
      <c r="A69" s="7"/>
      <c r="B69" s="7"/>
      <c r="C69" s="7"/>
      <c r="D69" s="7"/>
      <c r="E69" s="7"/>
      <c r="F69" s="7"/>
      <c r="G69" s="7"/>
      <c r="H69" s="7"/>
      <c r="I69" s="7"/>
      <c r="J69" s="7"/>
    </row>
    <row r="70" spans="1:10" x14ac:dyDescent="0.2">
      <c r="A70" s="7"/>
      <c r="B70" s="7"/>
      <c r="C70" s="7"/>
      <c r="D70" s="7"/>
      <c r="E70" s="7"/>
      <c r="F70" s="7"/>
      <c r="G70" s="7"/>
      <c r="H70" s="7"/>
      <c r="I70" s="7"/>
      <c r="J70" s="7"/>
    </row>
    <row r="71" spans="1:10" x14ac:dyDescent="0.2">
      <c r="A71" s="7"/>
      <c r="B71" s="7"/>
      <c r="C71" s="7"/>
      <c r="D71" s="7"/>
      <c r="E71" s="7"/>
      <c r="F71" s="7"/>
      <c r="G71" s="7"/>
      <c r="H71" s="7"/>
      <c r="I71" s="7"/>
      <c r="J71" s="7"/>
    </row>
    <row r="72" spans="1:10" x14ac:dyDescent="0.2">
      <c r="A72" s="7"/>
      <c r="B72" s="7"/>
      <c r="C72" s="7"/>
      <c r="D72" s="7"/>
      <c r="E72" s="7"/>
      <c r="F72" s="7"/>
      <c r="G72" s="7"/>
      <c r="H72" s="7"/>
      <c r="I72" s="7"/>
      <c r="J72" s="7"/>
    </row>
    <row r="73" spans="1:10" x14ac:dyDescent="0.2">
      <c r="A73" s="7"/>
      <c r="B73" s="7"/>
      <c r="C73" s="7"/>
      <c r="D73" s="7"/>
      <c r="E73" s="7"/>
      <c r="F73" s="7"/>
      <c r="G73" s="7"/>
      <c r="H73" s="7"/>
      <c r="I73" s="7"/>
      <c r="J73" s="7"/>
    </row>
    <row r="74" spans="1:10" x14ac:dyDescent="0.2">
      <c r="A74" s="7"/>
      <c r="B74" s="7"/>
      <c r="C74" s="7"/>
      <c r="D74" s="7"/>
      <c r="E74" s="7"/>
      <c r="F74" s="7"/>
      <c r="G74" s="7"/>
      <c r="H74" s="7"/>
      <c r="I74" s="7"/>
      <c r="J74" s="7"/>
    </row>
    <row r="75" spans="1:10" x14ac:dyDescent="0.2">
      <c r="A75" s="7"/>
      <c r="B75" s="7"/>
      <c r="C75" s="7"/>
      <c r="D75" s="7"/>
      <c r="E75" s="7"/>
      <c r="F75" s="7"/>
      <c r="G75" s="7"/>
      <c r="H75" s="7"/>
      <c r="I75" s="7"/>
      <c r="J75" s="7"/>
    </row>
    <row r="76" spans="1:10" x14ac:dyDescent="0.2">
      <c r="A76" s="7"/>
      <c r="B76" s="7"/>
      <c r="C76" s="7"/>
      <c r="D76" s="7"/>
      <c r="E76" s="7"/>
      <c r="F76" s="7"/>
      <c r="G76" s="7"/>
      <c r="H76" s="7"/>
      <c r="I76" s="7"/>
      <c r="J76" s="7"/>
    </row>
    <row r="77" spans="1:10" x14ac:dyDescent="0.2">
      <c r="A77" s="7"/>
      <c r="B77" s="7"/>
      <c r="C77" s="7"/>
      <c r="D77" s="7"/>
      <c r="E77" s="7"/>
      <c r="F77" s="7"/>
      <c r="G77" s="7"/>
      <c r="H77" s="7"/>
      <c r="I77" s="7"/>
      <c r="J77" s="7"/>
    </row>
    <row r="78" spans="1:10" x14ac:dyDescent="0.2">
      <c r="A78" s="7"/>
      <c r="B78" s="7"/>
      <c r="C78" s="7"/>
      <c r="D78" s="7"/>
      <c r="E78" s="7"/>
      <c r="F78" s="7"/>
      <c r="G78" s="7"/>
      <c r="H78" s="7"/>
      <c r="I78" s="7"/>
      <c r="J78" s="7"/>
    </row>
    <row r="79" spans="1:10" x14ac:dyDescent="0.2">
      <c r="A79" s="7"/>
      <c r="B79" s="7"/>
      <c r="C79" s="7"/>
      <c r="D79" s="7"/>
      <c r="E79" s="7"/>
      <c r="F79" s="7"/>
      <c r="G79" s="7"/>
      <c r="H79" s="7"/>
      <c r="I79" s="7"/>
      <c r="J79" s="7"/>
    </row>
    <row r="80" spans="1:10" x14ac:dyDescent="0.2">
      <c r="A80" s="7"/>
      <c r="B80" s="7"/>
      <c r="C80" s="7"/>
      <c r="D80" s="7"/>
      <c r="E80" s="7"/>
      <c r="F80" s="7"/>
      <c r="G80" s="7"/>
      <c r="H80" s="7"/>
      <c r="I80" s="7"/>
      <c r="J80" s="7"/>
    </row>
    <row r="81" spans="1:10" x14ac:dyDescent="0.2">
      <c r="A81" s="7"/>
      <c r="B81" s="7"/>
      <c r="C81" s="7"/>
      <c r="D81" s="7"/>
      <c r="E81" s="7"/>
      <c r="F81" s="7"/>
      <c r="G81" s="7"/>
      <c r="H81" s="7"/>
      <c r="I81" s="7"/>
      <c r="J81" s="7"/>
    </row>
    <row r="82" spans="1:10" x14ac:dyDescent="0.2">
      <c r="A82" s="7"/>
      <c r="B82" s="7"/>
      <c r="C82" s="7"/>
      <c r="D82" s="7"/>
      <c r="E82" s="7"/>
      <c r="F82" s="7"/>
      <c r="G82" s="7"/>
      <c r="H82" s="7"/>
      <c r="I82" s="7"/>
      <c r="J82" s="7"/>
    </row>
    <row r="83" spans="1:10" x14ac:dyDescent="0.2">
      <c r="A83" s="7"/>
      <c r="B83" s="7"/>
      <c r="C83" s="7"/>
      <c r="D83" s="7"/>
      <c r="E83" s="7"/>
      <c r="F83" s="7"/>
      <c r="G83" s="7"/>
      <c r="H83" s="7"/>
      <c r="I83" s="7"/>
      <c r="J83" s="7"/>
    </row>
    <row r="84" spans="1:10" x14ac:dyDescent="0.2">
      <c r="A84" s="7"/>
      <c r="B84" s="7"/>
      <c r="C84" s="7"/>
      <c r="D84" s="7"/>
      <c r="E84" s="7"/>
      <c r="F84" s="7"/>
      <c r="G84" s="7"/>
      <c r="H84" s="7"/>
      <c r="I84" s="7"/>
      <c r="J84" s="7"/>
    </row>
    <row r="85" spans="1:10" x14ac:dyDescent="0.2">
      <c r="A85" s="7"/>
      <c r="B85" s="7"/>
      <c r="C85" s="7"/>
      <c r="D85" s="7"/>
      <c r="E85" s="7"/>
      <c r="F85" s="7"/>
      <c r="G85" s="7"/>
      <c r="H85" s="7"/>
      <c r="I85" s="7"/>
      <c r="J85" s="7"/>
    </row>
    <row r="86" spans="1:10" x14ac:dyDescent="0.2">
      <c r="A86" s="7"/>
      <c r="B86" s="7"/>
      <c r="C86" s="7"/>
      <c r="D86" s="7"/>
      <c r="E86" s="7"/>
      <c r="F86" s="7"/>
      <c r="G86" s="7"/>
      <c r="H86" s="7"/>
      <c r="I86" s="7"/>
      <c r="J86" s="7"/>
    </row>
    <row r="87" spans="1:10" x14ac:dyDescent="0.2">
      <c r="A87" s="7"/>
      <c r="B87" s="7"/>
      <c r="C87" s="7"/>
      <c r="D87" s="7"/>
      <c r="E87" s="7"/>
      <c r="F87" s="7"/>
      <c r="G87" s="7"/>
      <c r="H87" s="7"/>
      <c r="I87" s="7"/>
      <c r="J87" s="7"/>
    </row>
    <row r="88" spans="1:10" x14ac:dyDescent="0.2">
      <c r="A88" s="7"/>
      <c r="B88" s="7"/>
      <c r="C88" s="7"/>
      <c r="D88" s="7"/>
      <c r="E88" s="7"/>
      <c r="F88" s="7"/>
      <c r="G88" s="7"/>
      <c r="H88" s="7"/>
      <c r="I88" s="7"/>
      <c r="J88" s="7"/>
    </row>
    <row r="89" spans="1:10" x14ac:dyDescent="0.2">
      <c r="A89" s="7"/>
      <c r="B89" s="7"/>
      <c r="C89" s="7"/>
      <c r="D89" s="7"/>
      <c r="E89" s="7"/>
      <c r="F89" s="7"/>
      <c r="G89" s="7"/>
      <c r="H89" s="7"/>
      <c r="I89" s="7"/>
      <c r="J89" s="7"/>
    </row>
    <row r="90" spans="1:10" x14ac:dyDescent="0.2">
      <c r="A90" s="7"/>
      <c r="B90" s="7"/>
      <c r="C90" s="7"/>
      <c r="D90" s="7"/>
      <c r="E90" s="7"/>
      <c r="F90" s="7"/>
      <c r="G90" s="7"/>
      <c r="H90" s="7"/>
      <c r="I90" s="7"/>
      <c r="J90" s="7"/>
    </row>
    <row r="91" spans="1:10" x14ac:dyDescent="0.2">
      <c r="A91" s="7"/>
      <c r="B91" s="7"/>
      <c r="C91" s="7"/>
      <c r="D91" s="7"/>
      <c r="E91" s="7"/>
      <c r="F91" s="7"/>
      <c r="G91" s="7"/>
      <c r="H91" s="7"/>
      <c r="I91" s="7"/>
      <c r="J91" s="7"/>
    </row>
    <row r="92" spans="1:10" x14ac:dyDescent="0.2">
      <c r="A92" s="7"/>
      <c r="B92" s="7"/>
      <c r="C92" s="7"/>
      <c r="D92" s="7"/>
      <c r="E92" s="7"/>
      <c r="F92" s="7"/>
      <c r="G92" s="7"/>
      <c r="H92" s="7"/>
      <c r="I92" s="7"/>
      <c r="J92" s="7"/>
    </row>
    <row r="93" spans="1:10" x14ac:dyDescent="0.2">
      <c r="A93" s="7"/>
      <c r="B93" s="7"/>
      <c r="C93" s="7"/>
      <c r="D93" s="7"/>
      <c r="E93" s="7"/>
      <c r="F93" s="7"/>
      <c r="G93" s="7"/>
      <c r="H93" s="7"/>
      <c r="I93" s="7"/>
      <c r="J93" s="7"/>
    </row>
    <row r="94" spans="1:10" x14ac:dyDescent="0.2">
      <c r="A94" s="7"/>
      <c r="B94" s="7"/>
      <c r="C94" s="7"/>
      <c r="D94" s="7"/>
      <c r="E94" s="7"/>
      <c r="F94" s="7"/>
      <c r="G94" s="7"/>
      <c r="H94" s="7"/>
      <c r="I94" s="7"/>
      <c r="J94" s="7"/>
    </row>
    <row r="95" spans="1:10" x14ac:dyDescent="0.2">
      <c r="A95" s="7"/>
      <c r="B95" s="7"/>
      <c r="C95" s="7"/>
      <c r="D95" s="7"/>
      <c r="E95" s="7"/>
      <c r="F95" s="7"/>
      <c r="G95" s="7"/>
      <c r="H95" s="7"/>
      <c r="I95" s="7"/>
      <c r="J95" s="7"/>
    </row>
    <row r="96" spans="1:10" x14ac:dyDescent="0.2">
      <c r="A96" s="7"/>
      <c r="B96" s="7"/>
      <c r="C96" s="7"/>
      <c r="D96" s="7"/>
      <c r="E96" s="7"/>
      <c r="F96" s="7"/>
      <c r="G96" s="7"/>
      <c r="H96" s="7"/>
      <c r="I96" s="7"/>
      <c r="J96" s="7"/>
    </row>
    <row r="97" spans="1:10" x14ac:dyDescent="0.2">
      <c r="A97" s="7"/>
      <c r="B97" s="7"/>
      <c r="C97" s="7"/>
      <c r="D97" s="7"/>
      <c r="E97" s="7"/>
      <c r="F97" s="7"/>
      <c r="G97" s="7"/>
      <c r="H97" s="7"/>
      <c r="I97" s="7"/>
      <c r="J97" s="7"/>
    </row>
    <row r="98" spans="1:10" x14ac:dyDescent="0.2">
      <c r="A98" s="7"/>
      <c r="B98" s="7"/>
      <c r="C98" s="7"/>
      <c r="D98" s="7"/>
      <c r="E98" s="7"/>
      <c r="F98" s="7"/>
      <c r="G98" s="7"/>
      <c r="H98" s="7"/>
      <c r="I98" s="7"/>
      <c r="J98" s="7"/>
    </row>
    <row r="99" spans="1:10" x14ac:dyDescent="0.2">
      <c r="A99" s="7"/>
      <c r="B99" s="7"/>
      <c r="C99" s="7"/>
      <c r="D99" s="7"/>
      <c r="E99" s="7"/>
      <c r="F99" s="7"/>
      <c r="G99" s="7"/>
      <c r="H99" s="7"/>
      <c r="I99" s="7"/>
      <c r="J99" s="7"/>
    </row>
    <row r="100" spans="1:10" x14ac:dyDescent="0.2">
      <c r="A100" s="7"/>
      <c r="B100" s="7"/>
      <c r="C100" s="7"/>
      <c r="D100" s="7"/>
      <c r="E100" s="7"/>
      <c r="F100" s="7"/>
      <c r="G100" s="7"/>
      <c r="H100" s="7"/>
      <c r="I100" s="7"/>
      <c r="J100" s="7"/>
    </row>
    <row r="101" spans="1:10" x14ac:dyDescent="0.2">
      <c r="A101" s="7"/>
      <c r="B101" s="7"/>
      <c r="C101" s="7"/>
      <c r="D101" s="7"/>
      <c r="E101" s="7"/>
      <c r="F101" s="7"/>
      <c r="G101" s="7"/>
      <c r="H101" s="7"/>
      <c r="I101" s="7"/>
      <c r="J101" s="7"/>
    </row>
    <row r="102" spans="1:10" x14ac:dyDescent="0.2">
      <c r="A102" s="7"/>
      <c r="B102" s="7"/>
      <c r="C102" s="7"/>
      <c r="D102" s="7"/>
      <c r="E102" s="7"/>
      <c r="F102" s="7"/>
      <c r="G102" s="7"/>
      <c r="H102" s="7"/>
      <c r="I102" s="7"/>
      <c r="J102" s="7"/>
    </row>
    <row r="103" spans="1:10" x14ac:dyDescent="0.2">
      <c r="A103" s="7"/>
      <c r="B103" s="7"/>
      <c r="C103" s="7"/>
      <c r="D103" s="7"/>
      <c r="E103" s="7"/>
      <c r="F103" s="7"/>
      <c r="G103" s="7"/>
      <c r="H103" s="7"/>
      <c r="I103" s="7"/>
      <c r="J103" s="7"/>
    </row>
    <row r="104" spans="1:10" x14ac:dyDescent="0.2">
      <c r="A104" s="7"/>
      <c r="B104" s="7"/>
      <c r="C104" s="7"/>
      <c r="D104" s="7"/>
      <c r="E104" s="7"/>
      <c r="F104" s="7"/>
      <c r="G104" s="7"/>
      <c r="H104" s="7"/>
      <c r="I104" s="7"/>
      <c r="J104" s="7"/>
    </row>
    <row r="105" spans="1:10" x14ac:dyDescent="0.2">
      <c r="A105" s="7"/>
      <c r="B105" s="7"/>
      <c r="C105" s="7"/>
      <c r="D105" s="7"/>
      <c r="E105" s="7"/>
      <c r="F105" s="7"/>
      <c r="G105" s="7"/>
      <c r="H105" s="7"/>
      <c r="I105" s="7"/>
      <c r="J105" s="7"/>
    </row>
    <row r="106" spans="1:10" x14ac:dyDescent="0.2">
      <c r="A106" s="7"/>
      <c r="B106" s="7"/>
      <c r="C106" s="7"/>
      <c r="D106" s="7"/>
      <c r="E106" s="7"/>
      <c r="F106" s="7"/>
      <c r="G106" s="7"/>
      <c r="H106" s="7"/>
      <c r="I106" s="7"/>
      <c r="J106" s="7"/>
    </row>
    <row r="107" spans="1:10" x14ac:dyDescent="0.2">
      <c r="A107" s="7"/>
      <c r="B107" s="7"/>
      <c r="C107" s="7"/>
      <c r="D107" s="7"/>
      <c r="E107" s="7"/>
      <c r="F107" s="7"/>
      <c r="G107" s="7"/>
      <c r="H107" s="7"/>
      <c r="I107" s="7"/>
      <c r="J107" s="7"/>
    </row>
    <row r="108" spans="1:10" x14ac:dyDescent="0.2">
      <c r="A108" s="7"/>
      <c r="B108" s="7"/>
      <c r="C108" s="7"/>
      <c r="D108" s="7"/>
      <c r="E108" s="7"/>
      <c r="F108" s="7"/>
      <c r="G108" s="7"/>
      <c r="H108" s="7"/>
      <c r="I108" s="7"/>
      <c r="J108" s="7"/>
    </row>
    <row r="109" spans="1:10" x14ac:dyDescent="0.2">
      <c r="A109" s="7"/>
      <c r="B109" s="7"/>
      <c r="C109" s="7"/>
      <c r="D109" s="7"/>
      <c r="E109" s="7"/>
      <c r="F109" s="7"/>
      <c r="G109" s="7"/>
      <c r="H109" s="7"/>
      <c r="I109" s="7"/>
      <c r="J109" s="7"/>
    </row>
    <row r="110" spans="1:10" x14ac:dyDescent="0.2">
      <c r="A110" s="7"/>
      <c r="B110" s="7"/>
      <c r="C110" s="7"/>
      <c r="D110" s="7"/>
      <c r="E110" s="7"/>
      <c r="F110" s="7"/>
      <c r="G110" s="7"/>
      <c r="H110" s="7"/>
      <c r="I110" s="7"/>
      <c r="J110" s="7"/>
    </row>
    <row r="111" spans="1:10" x14ac:dyDescent="0.2">
      <c r="A111" s="7"/>
      <c r="B111" s="7"/>
      <c r="C111" s="7"/>
      <c r="D111" s="7"/>
      <c r="E111" s="7"/>
      <c r="F111" s="7"/>
      <c r="G111" s="7"/>
      <c r="H111" s="7"/>
      <c r="I111" s="7"/>
      <c r="J111" s="7"/>
    </row>
    <row r="112" spans="1:10" x14ac:dyDescent="0.2">
      <c r="A112" s="7"/>
      <c r="B112" s="7"/>
      <c r="C112" s="7"/>
      <c r="D112" s="7"/>
      <c r="E112" s="7"/>
      <c r="F112" s="7"/>
      <c r="G112" s="7"/>
      <c r="H112" s="7"/>
      <c r="I112" s="7"/>
      <c r="J112" s="7"/>
    </row>
    <row r="113" spans="1:10" x14ac:dyDescent="0.2">
      <c r="A113" s="7"/>
      <c r="B113" s="7"/>
      <c r="C113" s="7"/>
      <c r="D113" s="7"/>
      <c r="E113" s="7"/>
      <c r="F113" s="7"/>
      <c r="G113" s="7"/>
      <c r="H113" s="7"/>
      <c r="I113" s="7"/>
      <c r="J113" s="7"/>
    </row>
    <row r="114" spans="1:10" x14ac:dyDescent="0.2">
      <c r="A114" s="7"/>
      <c r="B114" s="7"/>
      <c r="C114" s="7"/>
      <c r="D114" s="7"/>
      <c r="E114" s="7"/>
      <c r="F114" s="7"/>
      <c r="G114" s="7"/>
      <c r="H114" s="7"/>
      <c r="I114" s="7"/>
      <c r="J114" s="7"/>
    </row>
    <row r="115" spans="1:10" x14ac:dyDescent="0.2">
      <c r="A115" s="7"/>
      <c r="B115" s="7"/>
      <c r="C115" s="7"/>
      <c r="D115" s="7"/>
      <c r="E115" s="7"/>
      <c r="F115" s="7"/>
      <c r="G115" s="7"/>
      <c r="H115" s="7"/>
      <c r="I115" s="7"/>
      <c r="J115" s="7"/>
    </row>
    <row r="116" spans="1:10" x14ac:dyDescent="0.2">
      <c r="A116" s="7"/>
      <c r="B116" s="7"/>
      <c r="C116" s="7"/>
      <c r="D116" s="7"/>
      <c r="E116" s="7"/>
      <c r="F116" s="7"/>
      <c r="G116" s="7"/>
      <c r="H116" s="7"/>
      <c r="I116" s="7"/>
      <c r="J116" s="7"/>
    </row>
    <row r="117" spans="1:10" x14ac:dyDescent="0.2">
      <c r="A117" s="7"/>
      <c r="B117" s="7"/>
      <c r="C117" s="7"/>
      <c r="D117" s="7"/>
      <c r="E117" s="7"/>
      <c r="F117" s="7"/>
      <c r="G117" s="7"/>
      <c r="H117" s="7"/>
      <c r="I117" s="7"/>
      <c r="J117" s="7"/>
    </row>
    <row r="118" spans="1:10" x14ac:dyDescent="0.2">
      <c r="A118" s="7"/>
      <c r="B118" s="7"/>
      <c r="C118" s="7"/>
      <c r="D118" s="7"/>
      <c r="E118" s="7"/>
      <c r="F118" s="7"/>
      <c r="G118" s="7"/>
      <c r="H118" s="7"/>
      <c r="I118" s="7"/>
      <c r="J118" s="7"/>
    </row>
    <row r="119" spans="1:10" x14ac:dyDescent="0.2">
      <c r="A119" s="7"/>
      <c r="B119" s="7"/>
      <c r="C119" s="7"/>
      <c r="D119" s="7"/>
      <c r="E119" s="7"/>
      <c r="F119" s="7"/>
      <c r="G119" s="7"/>
      <c r="H119" s="7"/>
      <c r="I119" s="7"/>
      <c r="J119" s="7"/>
    </row>
    <row r="120" spans="1:10" x14ac:dyDescent="0.2">
      <c r="A120" s="7"/>
      <c r="B120" s="7"/>
      <c r="C120" s="7"/>
      <c r="D120" s="7"/>
      <c r="E120" s="7"/>
      <c r="F120" s="7"/>
      <c r="G120" s="7"/>
      <c r="H120" s="7"/>
      <c r="I120" s="7"/>
      <c r="J120" s="7"/>
    </row>
    <row r="121" spans="1:10" x14ac:dyDescent="0.2">
      <c r="A121" s="7"/>
      <c r="B121" s="7"/>
      <c r="C121" s="7"/>
      <c r="D121" s="7"/>
      <c r="E121" s="7"/>
      <c r="F121" s="7"/>
      <c r="G121" s="7"/>
      <c r="H121" s="7"/>
      <c r="I121" s="7"/>
      <c r="J121" s="7"/>
    </row>
    <row r="122" spans="1:10" x14ac:dyDescent="0.2">
      <c r="A122" s="7"/>
      <c r="B122" s="7"/>
      <c r="C122" s="7"/>
      <c r="D122" s="7"/>
      <c r="E122" s="7"/>
      <c r="F122" s="7"/>
      <c r="G122" s="7"/>
      <c r="H122" s="7"/>
      <c r="I122" s="7"/>
      <c r="J122" s="7"/>
    </row>
    <row r="123" spans="1:10" x14ac:dyDescent="0.2">
      <c r="A123" s="7"/>
      <c r="B123" s="7"/>
      <c r="C123" s="7"/>
      <c r="D123" s="7"/>
      <c r="E123" s="7"/>
      <c r="F123" s="7"/>
      <c r="G123" s="7"/>
      <c r="H123" s="7"/>
      <c r="I123" s="7"/>
      <c r="J123" s="7"/>
    </row>
    <row r="124" spans="1:10" x14ac:dyDescent="0.2">
      <c r="A124" s="7"/>
      <c r="B124" s="7"/>
      <c r="C124" s="7"/>
      <c r="D124" s="7"/>
      <c r="E124" s="7"/>
      <c r="F124" s="7"/>
      <c r="G124" s="7"/>
      <c r="H124" s="7"/>
      <c r="I124" s="7"/>
      <c r="J124" s="7"/>
    </row>
    <row r="125" spans="1:10" x14ac:dyDescent="0.2">
      <c r="A125" s="7"/>
      <c r="B125" s="7"/>
      <c r="C125" s="7"/>
      <c r="D125" s="7"/>
      <c r="E125" s="7"/>
      <c r="F125" s="7"/>
      <c r="G125" s="7"/>
      <c r="H125" s="7"/>
      <c r="I125" s="7"/>
      <c r="J125" s="7"/>
    </row>
    <row r="126" spans="1:10" x14ac:dyDescent="0.2">
      <c r="A126" s="7"/>
      <c r="B126" s="7"/>
      <c r="C126" s="7"/>
      <c r="D126" s="7"/>
      <c r="E126" s="7"/>
      <c r="F126" s="7"/>
      <c r="G126" s="7"/>
      <c r="H126" s="7"/>
      <c r="I126" s="7"/>
      <c r="J126" s="7"/>
    </row>
    <row r="127" spans="1:10" x14ac:dyDescent="0.2">
      <c r="A127" s="7"/>
      <c r="B127" s="7"/>
      <c r="C127" s="7"/>
      <c r="D127" s="7"/>
      <c r="E127" s="7"/>
      <c r="F127" s="7"/>
      <c r="G127" s="7"/>
      <c r="H127" s="7"/>
      <c r="I127" s="7"/>
      <c r="J127" s="7"/>
    </row>
    <row r="128" spans="1:10" x14ac:dyDescent="0.2">
      <c r="A128" s="7"/>
      <c r="B128" s="7"/>
      <c r="C128" s="7"/>
      <c r="D128" s="7"/>
      <c r="E128" s="7"/>
      <c r="F128" s="7"/>
      <c r="G128" s="7"/>
      <c r="H128" s="7"/>
      <c r="I128" s="7"/>
      <c r="J128" s="7"/>
    </row>
    <row r="129" spans="1:10" x14ac:dyDescent="0.2">
      <c r="A129" s="7"/>
      <c r="B129" s="7"/>
      <c r="C129" s="7"/>
      <c r="D129" s="7"/>
      <c r="E129" s="7"/>
      <c r="F129" s="7"/>
      <c r="G129" s="7"/>
      <c r="H129" s="7"/>
      <c r="I129" s="7"/>
      <c r="J129" s="7"/>
    </row>
    <row r="130" spans="1:10" x14ac:dyDescent="0.2">
      <c r="A130" s="7"/>
      <c r="B130" s="7"/>
      <c r="C130" s="7"/>
      <c r="D130" s="7"/>
      <c r="E130" s="7"/>
      <c r="F130" s="7"/>
      <c r="G130" s="7"/>
      <c r="H130" s="7"/>
      <c r="I130" s="7"/>
      <c r="J130" s="7"/>
    </row>
    <row r="131" spans="1:10" x14ac:dyDescent="0.2">
      <c r="A131" s="7"/>
      <c r="B131" s="7"/>
      <c r="C131" s="7"/>
      <c r="D131" s="7"/>
      <c r="E131" s="7"/>
      <c r="F131" s="7"/>
      <c r="G131" s="7"/>
      <c r="H131" s="7"/>
      <c r="I131" s="7"/>
      <c r="J131" s="7"/>
    </row>
    <row r="132" spans="1:10" x14ac:dyDescent="0.2">
      <c r="A132" s="7"/>
      <c r="B132" s="7"/>
      <c r="C132" s="7"/>
      <c r="D132" s="7"/>
      <c r="E132" s="7"/>
      <c r="F132" s="7"/>
      <c r="G132" s="7"/>
      <c r="H132" s="7"/>
      <c r="I132" s="7"/>
      <c r="J132" s="7"/>
    </row>
    <row r="133" spans="1:10" x14ac:dyDescent="0.2">
      <c r="A133" s="7"/>
      <c r="B133" s="7"/>
      <c r="C133" s="7"/>
      <c r="D133" s="7"/>
      <c r="E133" s="7"/>
      <c r="F133" s="7"/>
      <c r="G133" s="7"/>
      <c r="H133" s="7"/>
      <c r="I133" s="7"/>
      <c r="J133" s="7"/>
    </row>
    <row r="134" spans="1:10" x14ac:dyDescent="0.2">
      <c r="A134" s="7"/>
      <c r="B134" s="7"/>
      <c r="C134" s="7"/>
      <c r="D134" s="7"/>
      <c r="E134" s="7"/>
      <c r="F134" s="7"/>
      <c r="G134" s="7"/>
      <c r="H134" s="7"/>
      <c r="I134" s="7"/>
      <c r="J134" s="7"/>
    </row>
    <row r="135" spans="1:10" x14ac:dyDescent="0.2">
      <c r="A135" s="7"/>
      <c r="B135" s="7"/>
      <c r="C135" s="7"/>
      <c r="D135" s="7"/>
      <c r="E135" s="7"/>
      <c r="F135" s="7"/>
      <c r="G135" s="7"/>
      <c r="H135" s="7"/>
      <c r="I135" s="7"/>
      <c r="J135" s="7"/>
    </row>
    <row r="136" spans="1:10" x14ac:dyDescent="0.2">
      <c r="A136" s="7"/>
      <c r="B136" s="7"/>
      <c r="C136" s="7"/>
      <c r="D136" s="7"/>
      <c r="E136" s="7"/>
      <c r="F136" s="7"/>
      <c r="G136" s="7"/>
      <c r="H136" s="7"/>
      <c r="I136" s="7"/>
      <c r="J136" s="7"/>
    </row>
    <row r="137" spans="1:10" x14ac:dyDescent="0.2">
      <c r="A137" s="7"/>
      <c r="B137" s="7"/>
      <c r="C137" s="7"/>
      <c r="D137" s="7"/>
      <c r="E137" s="7"/>
      <c r="F137" s="7"/>
      <c r="G137" s="7"/>
      <c r="H137" s="7"/>
      <c r="I137" s="7"/>
      <c r="J137" s="7"/>
    </row>
    <row r="138" spans="1:10" x14ac:dyDescent="0.2">
      <c r="A138" s="7"/>
      <c r="B138" s="7"/>
      <c r="C138" s="7"/>
      <c r="D138" s="7"/>
      <c r="E138" s="7"/>
      <c r="F138" s="7"/>
      <c r="G138" s="7"/>
      <c r="H138" s="7"/>
      <c r="I138" s="7"/>
      <c r="J138" s="7"/>
    </row>
    <row r="139" spans="1:10" x14ac:dyDescent="0.2">
      <c r="A139" s="7"/>
      <c r="B139" s="7"/>
      <c r="C139" s="7"/>
      <c r="D139" s="7"/>
      <c r="E139" s="7"/>
      <c r="F139" s="7"/>
      <c r="G139" s="7"/>
      <c r="H139" s="7"/>
      <c r="I139" s="7"/>
      <c r="J139" s="7"/>
    </row>
    <row r="140" spans="1:10" x14ac:dyDescent="0.2">
      <c r="A140" s="7"/>
      <c r="B140" s="7"/>
      <c r="C140" s="7"/>
      <c r="D140" s="7"/>
      <c r="E140" s="7"/>
      <c r="F140" s="7"/>
      <c r="G140" s="7"/>
      <c r="H140" s="7"/>
      <c r="I140" s="7"/>
      <c r="J140" s="7"/>
    </row>
    <row r="141" spans="1:10" x14ac:dyDescent="0.2">
      <c r="A141" s="7"/>
      <c r="B141" s="7"/>
      <c r="C141" s="7"/>
      <c r="D141" s="7"/>
      <c r="E141" s="7"/>
      <c r="F141" s="7"/>
      <c r="G141" s="7"/>
      <c r="H141" s="7"/>
      <c r="I141" s="7"/>
      <c r="J141" s="7"/>
    </row>
    <row r="142" spans="1:10" x14ac:dyDescent="0.2">
      <c r="A142" s="7"/>
      <c r="B142" s="7"/>
      <c r="C142" s="7"/>
      <c r="D142" s="7"/>
      <c r="E142" s="7"/>
      <c r="F142" s="7"/>
      <c r="G142" s="7"/>
      <c r="H142" s="7"/>
      <c r="I142" s="7"/>
      <c r="J142" s="7"/>
    </row>
    <row r="143" spans="1:10" x14ac:dyDescent="0.2">
      <c r="A143" s="7"/>
      <c r="B143" s="7"/>
      <c r="C143" s="7"/>
      <c r="D143" s="7"/>
      <c r="E143" s="7"/>
      <c r="F143" s="7"/>
      <c r="G143" s="7"/>
      <c r="H143" s="7"/>
      <c r="I143" s="7"/>
      <c r="J143" s="7"/>
    </row>
    <row r="144" spans="1:10" x14ac:dyDescent="0.2">
      <c r="A144" s="7"/>
      <c r="B144" s="7"/>
      <c r="C144" s="7"/>
      <c r="D144" s="7"/>
      <c r="E144" s="7"/>
      <c r="F144" s="7"/>
      <c r="G144" s="7"/>
      <c r="H144" s="7"/>
      <c r="I144" s="7"/>
      <c r="J144" s="7"/>
    </row>
    <row r="145" spans="1:10" x14ac:dyDescent="0.2">
      <c r="A145" s="7"/>
      <c r="B145" s="7"/>
      <c r="C145" s="7"/>
      <c r="D145" s="7"/>
      <c r="E145" s="7"/>
      <c r="F145" s="7"/>
      <c r="G145" s="7"/>
      <c r="H145" s="7"/>
      <c r="I145" s="7"/>
      <c r="J145" s="7"/>
    </row>
    <row r="146" spans="1:10" x14ac:dyDescent="0.2">
      <c r="A146" s="7"/>
      <c r="B146" s="7"/>
      <c r="C146" s="7"/>
      <c r="D146" s="7"/>
      <c r="E146" s="7"/>
      <c r="F146" s="7"/>
      <c r="G146" s="7"/>
      <c r="H146" s="7"/>
      <c r="I146" s="7"/>
      <c r="J146" s="7"/>
    </row>
    <row r="147" spans="1:10" x14ac:dyDescent="0.2">
      <c r="A147" s="7"/>
      <c r="B147" s="7"/>
      <c r="C147" s="7"/>
      <c r="D147" s="7"/>
      <c r="E147" s="7"/>
      <c r="F147" s="7"/>
      <c r="G147" s="7"/>
      <c r="H147" s="7"/>
      <c r="I147" s="7"/>
      <c r="J147" s="7"/>
    </row>
    <row r="148" spans="1:10" x14ac:dyDescent="0.2">
      <c r="A148" s="7"/>
      <c r="B148" s="7"/>
      <c r="C148" s="7"/>
      <c r="D148" s="7"/>
      <c r="E148" s="7"/>
      <c r="F148" s="7"/>
      <c r="G148" s="7"/>
      <c r="H148" s="7"/>
      <c r="I148" s="7"/>
      <c r="J148" s="7"/>
    </row>
    <row r="149" spans="1:10" x14ac:dyDescent="0.2">
      <c r="A149" s="7"/>
      <c r="B149" s="7"/>
      <c r="C149" s="7"/>
      <c r="D149" s="7"/>
      <c r="E149" s="7"/>
      <c r="F149" s="7"/>
      <c r="G149" s="7"/>
      <c r="H149" s="7"/>
      <c r="I149" s="7"/>
      <c r="J149" s="7"/>
    </row>
    <row r="150" spans="1:10" x14ac:dyDescent="0.2">
      <c r="A150" s="7"/>
      <c r="B150" s="7"/>
      <c r="C150" s="7"/>
      <c r="D150" s="7"/>
      <c r="E150" s="7"/>
      <c r="F150" s="7"/>
      <c r="G150" s="7"/>
      <c r="H150" s="7"/>
      <c r="I150" s="7"/>
      <c r="J150" s="7"/>
    </row>
    <row r="151" spans="1:10" x14ac:dyDescent="0.2">
      <c r="A151" s="7"/>
      <c r="B151" s="7"/>
      <c r="C151" s="7"/>
      <c r="D151" s="7"/>
      <c r="E151" s="7"/>
      <c r="F151" s="7"/>
      <c r="G151" s="7"/>
      <c r="H151" s="7"/>
      <c r="I151" s="7"/>
      <c r="J151" s="7"/>
    </row>
    <row r="152" spans="1:10" x14ac:dyDescent="0.2">
      <c r="A152" s="7"/>
      <c r="B152" s="7"/>
      <c r="C152" s="7"/>
      <c r="D152" s="7"/>
      <c r="E152" s="7"/>
      <c r="F152" s="7"/>
      <c r="G152" s="7"/>
      <c r="H152" s="7"/>
      <c r="I152" s="7"/>
      <c r="J152" s="7"/>
    </row>
    <row r="153" spans="1:10" x14ac:dyDescent="0.2">
      <c r="A153" s="7"/>
      <c r="B153" s="7"/>
      <c r="C153" s="7"/>
      <c r="D153" s="7"/>
      <c r="E153" s="7"/>
      <c r="F153" s="7"/>
      <c r="G153" s="7"/>
      <c r="H153" s="7"/>
      <c r="I153" s="7"/>
      <c r="J153" s="7"/>
    </row>
    <row r="154" spans="1:10" x14ac:dyDescent="0.2">
      <c r="A154" s="7"/>
      <c r="B154" s="7"/>
      <c r="C154" s="7"/>
      <c r="D154" s="7"/>
      <c r="E154" s="7"/>
      <c r="F154" s="7"/>
      <c r="G154" s="7"/>
      <c r="H154" s="7"/>
      <c r="I154" s="7"/>
      <c r="J154" s="7"/>
    </row>
    <row r="155" spans="1:10" x14ac:dyDescent="0.2">
      <c r="A155" s="7"/>
      <c r="B155" s="7"/>
      <c r="C155" s="7"/>
      <c r="D155" s="7"/>
      <c r="E155" s="7"/>
      <c r="F155" s="7"/>
      <c r="G155" s="7"/>
      <c r="H155" s="7"/>
      <c r="I155" s="7"/>
      <c r="J155" s="7"/>
    </row>
    <row r="156" spans="1:10" x14ac:dyDescent="0.2">
      <c r="A156" s="7"/>
      <c r="B156" s="7"/>
      <c r="C156" s="7"/>
      <c r="D156" s="7"/>
      <c r="E156" s="7"/>
      <c r="F156" s="7"/>
      <c r="G156" s="7"/>
      <c r="H156" s="7"/>
      <c r="I156" s="7"/>
      <c r="J156" s="7"/>
    </row>
    <row r="157" spans="1:10" x14ac:dyDescent="0.2">
      <c r="A157" s="7"/>
      <c r="B157" s="7"/>
      <c r="C157" s="7"/>
      <c r="D157" s="7"/>
      <c r="E157" s="7"/>
      <c r="F157" s="7"/>
      <c r="G157" s="7"/>
      <c r="H157" s="7"/>
      <c r="I157" s="7"/>
      <c r="J157" s="7"/>
    </row>
    <row r="158" spans="1:10" x14ac:dyDescent="0.2">
      <c r="A158" s="7"/>
      <c r="B158" s="7"/>
      <c r="C158" s="7"/>
      <c r="D158" s="7"/>
      <c r="E158" s="7"/>
      <c r="F158" s="7"/>
      <c r="G158" s="7"/>
      <c r="H158" s="7"/>
      <c r="I158" s="7"/>
      <c r="J158" s="7"/>
    </row>
    <row r="159" spans="1:10" x14ac:dyDescent="0.2">
      <c r="A159" s="7"/>
      <c r="B159" s="7"/>
      <c r="C159" s="7"/>
      <c r="D159" s="7"/>
      <c r="E159" s="7"/>
      <c r="F159" s="7"/>
      <c r="G159" s="7"/>
      <c r="H159" s="7"/>
      <c r="I159" s="7"/>
      <c r="J159" s="7"/>
    </row>
    <row r="160" spans="1:10" x14ac:dyDescent="0.2">
      <c r="A160" s="7"/>
      <c r="B160" s="7"/>
      <c r="C160" s="7"/>
      <c r="D160" s="7"/>
      <c r="E160" s="7"/>
      <c r="F160" s="7"/>
      <c r="G160" s="7"/>
      <c r="H160" s="7"/>
      <c r="I160" s="7"/>
      <c r="J160" s="7"/>
    </row>
    <row r="161" spans="1:10" x14ac:dyDescent="0.2">
      <c r="A161" s="7"/>
      <c r="B161" s="7"/>
      <c r="C161" s="7"/>
      <c r="D161" s="7"/>
      <c r="E161" s="7"/>
      <c r="F161" s="7"/>
      <c r="G161" s="7"/>
      <c r="H161" s="7"/>
      <c r="I161" s="7"/>
      <c r="J161" s="7"/>
    </row>
    <row r="162" spans="1:10" x14ac:dyDescent="0.2">
      <c r="A162" s="7"/>
      <c r="B162" s="7"/>
      <c r="C162" s="7"/>
      <c r="D162" s="7"/>
      <c r="E162" s="7"/>
      <c r="F162" s="7"/>
      <c r="G162" s="7"/>
      <c r="H162" s="7"/>
      <c r="I162" s="7"/>
      <c r="J162" s="7"/>
    </row>
    <row r="163" spans="1:10" x14ac:dyDescent="0.2">
      <c r="A163" s="7"/>
      <c r="B163" s="7"/>
      <c r="C163" s="7"/>
      <c r="D163" s="7"/>
      <c r="E163" s="7"/>
      <c r="F163" s="7"/>
      <c r="G163" s="7"/>
      <c r="H163" s="7"/>
      <c r="I163" s="7"/>
      <c r="J163" s="7"/>
    </row>
    <row r="164" spans="1:10" x14ac:dyDescent="0.2">
      <c r="A164" s="7"/>
      <c r="B164" s="7"/>
      <c r="C164" s="7"/>
      <c r="D164" s="7"/>
      <c r="E164" s="7"/>
      <c r="F164" s="7"/>
      <c r="G164" s="7"/>
      <c r="H164" s="7"/>
      <c r="I164" s="7"/>
      <c r="J164" s="7"/>
    </row>
    <row r="165" spans="1:10" x14ac:dyDescent="0.2">
      <c r="A165" s="7"/>
      <c r="B165" s="7"/>
      <c r="C165" s="7"/>
      <c r="D165" s="7"/>
      <c r="E165" s="7"/>
      <c r="F165" s="7"/>
      <c r="G165" s="7"/>
      <c r="H165" s="7"/>
      <c r="I165" s="7"/>
      <c r="J165" s="7"/>
    </row>
    <row r="166" spans="1:10" x14ac:dyDescent="0.2">
      <c r="A166" s="7"/>
      <c r="B166" s="7"/>
      <c r="C166" s="7"/>
      <c r="D166" s="7"/>
      <c r="E166" s="7"/>
      <c r="F166" s="7"/>
      <c r="G166" s="7"/>
      <c r="H166" s="7"/>
      <c r="I166" s="7"/>
      <c r="J166" s="7"/>
    </row>
    <row r="167" spans="1:10" x14ac:dyDescent="0.2">
      <c r="A167" s="7"/>
      <c r="B167" s="7"/>
      <c r="C167" s="7"/>
      <c r="D167" s="7"/>
      <c r="E167" s="7"/>
      <c r="F167" s="7"/>
      <c r="G167" s="7"/>
      <c r="H167" s="7"/>
      <c r="I167" s="7"/>
      <c r="J167" s="7"/>
    </row>
    <row r="168" spans="1:10" x14ac:dyDescent="0.2">
      <c r="A168" s="7"/>
      <c r="B168" s="7"/>
      <c r="C168" s="7"/>
      <c r="D168" s="7"/>
      <c r="E168" s="7"/>
      <c r="F168" s="7"/>
      <c r="G168" s="7"/>
      <c r="H168" s="7"/>
      <c r="I168" s="7"/>
      <c r="J168" s="7"/>
    </row>
    <row r="169" spans="1:10" x14ac:dyDescent="0.2">
      <c r="A169" s="7"/>
      <c r="B169" s="7"/>
      <c r="C169" s="7"/>
      <c r="D169" s="7"/>
      <c r="E169" s="7"/>
      <c r="F169" s="7"/>
      <c r="G169" s="7"/>
      <c r="H169" s="7"/>
      <c r="I169" s="7"/>
      <c r="J169" s="7"/>
    </row>
    <row r="170" spans="1:10" x14ac:dyDescent="0.2">
      <c r="A170" s="7"/>
      <c r="B170" s="7"/>
      <c r="C170" s="7"/>
      <c r="D170" s="7"/>
      <c r="E170" s="7"/>
      <c r="F170" s="7"/>
      <c r="G170" s="7"/>
      <c r="H170" s="7"/>
      <c r="I170" s="7"/>
      <c r="J170" s="7"/>
    </row>
    <row r="171" spans="1:10" x14ac:dyDescent="0.2">
      <c r="A171" s="7"/>
      <c r="B171" s="7"/>
      <c r="C171" s="7"/>
      <c r="D171" s="7"/>
      <c r="E171" s="7"/>
      <c r="F171" s="7"/>
      <c r="G171" s="7"/>
      <c r="H171" s="7"/>
      <c r="I171" s="7"/>
      <c r="J171" s="7"/>
    </row>
    <row r="172" spans="1:10" x14ac:dyDescent="0.2">
      <c r="A172" s="7"/>
      <c r="B172" s="7"/>
      <c r="C172" s="7"/>
      <c r="D172" s="7"/>
      <c r="E172" s="7"/>
      <c r="F172" s="7"/>
      <c r="G172" s="7"/>
      <c r="H172" s="7"/>
      <c r="I172" s="7"/>
      <c r="J172" s="7"/>
    </row>
    <row r="173" spans="1:10" x14ac:dyDescent="0.2">
      <c r="A173" s="7"/>
      <c r="B173" s="7"/>
      <c r="C173" s="7"/>
      <c r="D173" s="7"/>
      <c r="E173" s="7"/>
      <c r="F173" s="7"/>
      <c r="G173" s="7"/>
      <c r="H173" s="7"/>
      <c r="I173" s="7"/>
      <c r="J173" s="7"/>
    </row>
    <row r="174" spans="1:10" x14ac:dyDescent="0.2">
      <c r="A174" s="7"/>
      <c r="B174" s="7"/>
      <c r="C174" s="7"/>
      <c r="D174" s="7"/>
      <c r="E174" s="7"/>
      <c r="F174" s="7"/>
      <c r="G174" s="7"/>
      <c r="H174" s="7"/>
      <c r="I174" s="7"/>
      <c r="J174" s="7"/>
    </row>
    <row r="175" spans="1:10" x14ac:dyDescent="0.2">
      <c r="A175" s="7"/>
      <c r="B175" s="7"/>
      <c r="C175" s="7"/>
      <c r="D175" s="7"/>
      <c r="E175" s="7"/>
      <c r="F175" s="7"/>
      <c r="G175" s="7"/>
      <c r="H175" s="7"/>
      <c r="I175" s="7"/>
      <c r="J175" s="7"/>
    </row>
    <row r="176" spans="1:10" x14ac:dyDescent="0.2">
      <c r="A176" s="7"/>
      <c r="B176" s="7"/>
      <c r="C176" s="7"/>
      <c r="D176" s="7"/>
      <c r="E176" s="7"/>
      <c r="F176" s="7"/>
      <c r="G176" s="7"/>
      <c r="H176" s="7"/>
      <c r="I176" s="7"/>
      <c r="J176" s="7"/>
    </row>
    <row r="177" spans="1:10" x14ac:dyDescent="0.2">
      <c r="A177" s="7"/>
      <c r="B177" s="7"/>
      <c r="C177" s="7"/>
      <c r="D177" s="7"/>
      <c r="E177" s="7"/>
      <c r="F177" s="7"/>
      <c r="G177" s="7"/>
      <c r="H177" s="7"/>
      <c r="I177" s="7"/>
      <c r="J177" s="7"/>
    </row>
    <row r="178" spans="1:10" x14ac:dyDescent="0.2">
      <c r="A178" s="7"/>
      <c r="B178" s="7"/>
      <c r="C178" s="7"/>
      <c r="D178" s="7"/>
      <c r="E178" s="7"/>
      <c r="F178" s="7"/>
      <c r="G178" s="7"/>
      <c r="H178" s="7"/>
      <c r="I178" s="7"/>
      <c r="J178" s="7"/>
    </row>
    <row r="179" spans="1:10" x14ac:dyDescent="0.2">
      <c r="A179" s="7"/>
      <c r="B179" s="7"/>
      <c r="C179" s="7"/>
      <c r="D179" s="7"/>
      <c r="E179" s="7"/>
      <c r="F179" s="7"/>
      <c r="G179" s="7"/>
      <c r="H179" s="7"/>
      <c r="I179" s="7"/>
      <c r="J179" s="7"/>
    </row>
    <row r="180" spans="1:10" x14ac:dyDescent="0.2">
      <c r="A180" s="7"/>
      <c r="B180" s="7"/>
      <c r="C180" s="7"/>
      <c r="D180" s="7"/>
      <c r="E180" s="7"/>
      <c r="F180" s="7"/>
      <c r="G180" s="7"/>
      <c r="H180" s="7"/>
      <c r="I180" s="7"/>
      <c r="J180" s="7"/>
    </row>
    <row r="181" spans="1:10" x14ac:dyDescent="0.2">
      <c r="A181" s="7"/>
      <c r="B181" s="7"/>
      <c r="C181" s="7"/>
      <c r="D181" s="7"/>
      <c r="E181" s="7"/>
      <c r="F181" s="7"/>
      <c r="G181" s="7"/>
      <c r="H181" s="7"/>
      <c r="I181" s="7"/>
      <c r="J181" s="7"/>
    </row>
    <row r="182" spans="1:10" x14ac:dyDescent="0.2">
      <c r="A182" s="7"/>
      <c r="B182" s="7"/>
      <c r="C182" s="7"/>
      <c r="D182" s="7"/>
      <c r="E182" s="7"/>
      <c r="F182" s="7"/>
      <c r="G182" s="7"/>
      <c r="H182" s="7"/>
      <c r="I182" s="7"/>
      <c r="J182" s="7"/>
    </row>
    <row r="183" spans="1:10" x14ac:dyDescent="0.2">
      <c r="A183" s="7"/>
      <c r="B183" s="7"/>
      <c r="C183" s="7"/>
      <c r="D183" s="7"/>
      <c r="E183" s="7"/>
      <c r="F183" s="7"/>
      <c r="G183" s="7"/>
      <c r="H183" s="7"/>
      <c r="I183" s="7"/>
      <c r="J183" s="7"/>
    </row>
    <row r="184" spans="1:10" x14ac:dyDescent="0.2">
      <c r="A184" s="7"/>
      <c r="B184" s="7"/>
      <c r="C184" s="7"/>
      <c r="D184" s="7"/>
      <c r="E184" s="7"/>
      <c r="F184" s="7"/>
      <c r="G184" s="7"/>
      <c r="H184" s="7"/>
      <c r="I184" s="7"/>
      <c r="J184" s="7"/>
    </row>
    <row r="185" spans="1:10" x14ac:dyDescent="0.2">
      <c r="A185" s="7"/>
      <c r="B185" s="7"/>
      <c r="C185" s="7"/>
      <c r="D185" s="7"/>
      <c r="E185" s="7"/>
      <c r="F185" s="7"/>
      <c r="G185" s="7"/>
      <c r="H185" s="7"/>
      <c r="I185" s="7"/>
      <c r="J185" s="7"/>
    </row>
    <row r="186" spans="1:10" x14ac:dyDescent="0.2">
      <c r="A186" s="7"/>
      <c r="B186" s="7"/>
      <c r="C186" s="7"/>
      <c r="D186" s="7"/>
      <c r="E186" s="7"/>
      <c r="F186" s="7"/>
      <c r="G186" s="7"/>
      <c r="H186" s="7"/>
      <c r="I186" s="7"/>
      <c r="J186" s="7"/>
    </row>
    <row r="187" spans="1:10" x14ac:dyDescent="0.2">
      <c r="A187" s="7"/>
      <c r="B187" s="7"/>
      <c r="C187" s="7"/>
      <c r="D187" s="7"/>
      <c r="E187" s="7"/>
      <c r="F187" s="7"/>
      <c r="G187" s="7"/>
      <c r="H187" s="7"/>
      <c r="I187" s="7"/>
      <c r="J187" s="7"/>
    </row>
    <row r="188" spans="1:10" x14ac:dyDescent="0.2">
      <c r="A188" s="7"/>
      <c r="B188" s="7"/>
      <c r="C188" s="7"/>
      <c r="D188" s="7"/>
      <c r="E188" s="7"/>
      <c r="F188" s="7"/>
      <c r="G188" s="7"/>
      <c r="H188" s="7"/>
      <c r="I188" s="7"/>
      <c r="J188" s="7"/>
    </row>
    <row r="189" spans="1:10" x14ac:dyDescent="0.2">
      <c r="A189" s="7"/>
      <c r="B189" s="7"/>
      <c r="C189" s="7"/>
      <c r="D189" s="7"/>
      <c r="E189" s="7"/>
      <c r="F189" s="7"/>
      <c r="G189" s="7"/>
      <c r="H189" s="7"/>
      <c r="I189" s="7"/>
      <c r="J189" s="7"/>
    </row>
    <row r="190" spans="1:10" x14ac:dyDescent="0.2">
      <c r="A190" s="7"/>
      <c r="B190" s="7"/>
      <c r="C190" s="7"/>
      <c r="D190" s="7"/>
      <c r="E190" s="7"/>
      <c r="F190" s="7"/>
      <c r="G190" s="7"/>
      <c r="H190" s="7"/>
      <c r="I190" s="7"/>
      <c r="J190" s="7"/>
    </row>
    <row r="191" spans="1:10" x14ac:dyDescent="0.2">
      <c r="A191" s="7"/>
      <c r="B191" s="7"/>
      <c r="C191" s="7"/>
      <c r="D191" s="7"/>
      <c r="E191" s="7"/>
      <c r="F191" s="7"/>
      <c r="G191" s="7"/>
      <c r="H191" s="7"/>
      <c r="I191" s="7"/>
      <c r="J191" s="7"/>
    </row>
    <row r="192" spans="1:10" x14ac:dyDescent="0.2">
      <c r="A192" s="7"/>
      <c r="B192" s="7"/>
      <c r="C192" s="7"/>
      <c r="D192" s="7"/>
      <c r="E192" s="7"/>
      <c r="F192" s="7"/>
      <c r="G192" s="7"/>
      <c r="H192" s="7"/>
      <c r="I192" s="7"/>
      <c r="J192" s="7"/>
    </row>
    <row r="193" spans="1:10" x14ac:dyDescent="0.2">
      <c r="A193" s="7"/>
      <c r="B193" s="7"/>
      <c r="C193" s="7"/>
      <c r="D193" s="7"/>
      <c r="E193" s="7"/>
      <c r="F193" s="7"/>
      <c r="G193" s="7"/>
      <c r="H193" s="7"/>
      <c r="I193" s="7"/>
      <c r="J193" s="7"/>
    </row>
    <row r="194" spans="1:10" x14ac:dyDescent="0.2">
      <c r="A194" s="7"/>
      <c r="B194" s="7"/>
      <c r="C194" s="7"/>
      <c r="D194" s="7"/>
      <c r="E194" s="7"/>
      <c r="F194" s="7"/>
      <c r="G194" s="7"/>
      <c r="H194" s="7"/>
      <c r="I194" s="7"/>
      <c r="J194" s="7"/>
    </row>
    <row r="195" spans="1:10" x14ac:dyDescent="0.2">
      <c r="A195" s="7"/>
      <c r="B195" s="7"/>
      <c r="C195" s="7"/>
      <c r="D195" s="7"/>
      <c r="E195" s="7"/>
      <c r="F195" s="7"/>
      <c r="G195" s="7"/>
      <c r="H195" s="7"/>
      <c r="I195" s="7"/>
      <c r="J195" s="7"/>
    </row>
    <row r="196" spans="1:10" x14ac:dyDescent="0.2">
      <c r="A196" s="7"/>
      <c r="B196" s="7"/>
      <c r="C196" s="7"/>
      <c r="D196" s="7"/>
      <c r="E196" s="7"/>
      <c r="F196" s="7"/>
      <c r="G196" s="7"/>
      <c r="H196" s="7"/>
      <c r="I196" s="7"/>
      <c r="J196" s="7"/>
    </row>
    <row r="197" spans="1:10" x14ac:dyDescent="0.2">
      <c r="A197" s="7"/>
      <c r="B197" s="7"/>
      <c r="C197" s="7"/>
      <c r="D197" s="7"/>
      <c r="E197" s="7"/>
      <c r="F197" s="7"/>
      <c r="G197" s="7"/>
      <c r="H197" s="7"/>
      <c r="I197" s="7"/>
      <c r="J197" s="7"/>
    </row>
    <row r="198" spans="1:10" x14ac:dyDescent="0.2">
      <c r="A198" s="7"/>
      <c r="B198" s="7"/>
      <c r="C198" s="7"/>
      <c r="D198" s="7"/>
      <c r="E198" s="7"/>
      <c r="F198" s="7"/>
      <c r="G198" s="7"/>
      <c r="H198" s="7"/>
      <c r="I198" s="7"/>
      <c r="J198" s="7"/>
    </row>
    <row r="199" spans="1:10" x14ac:dyDescent="0.2">
      <c r="A199" s="7"/>
      <c r="B199" s="7"/>
      <c r="C199" s="7"/>
      <c r="D199" s="7"/>
      <c r="E199" s="7"/>
      <c r="F199" s="7"/>
      <c r="G199" s="7"/>
      <c r="H199" s="7"/>
      <c r="I199" s="7"/>
      <c r="J199" s="7"/>
    </row>
    <row r="200" spans="1:10" x14ac:dyDescent="0.2">
      <c r="A200" s="7"/>
      <c r="B200" s="7"/>
      <c r="C200" s="7"/>
      <c r="D200" s="7"/>
      <c r="E200" s="7"/>
      <c r="F200" s="7"/>
      <c r="G200" s="7"/>
      <c r="H200" s="7"/>
      <c r="I200" s="7"/>
      <c r="J200" s="7"/>
    </row>
    <row r="201" spans="1:10" x14ac:dyDescent="0.2">
      <c r="A201" s="7"/>
      <c r="B201" s="7"/>
      <c r="C201" s="7"/>
      <c r="D201" s="7"/>
      <c r="E201" s="7"/>
      <c r="F201" s="7"/>
      <c r="G201" s="7"/>
      <c r="H201" s="7"/>
      <c r="I201" s="7"/>
      <c r="J201" s="7"/>
    </row>
    <row r="202" spans="1:10" x14ac:dyDescent="0.2">
      <c r="A202" s="7"/>
      <c r="B202" s="7"/>
      <c r="C202" s="7"/>
      <c r="D202" s="7"/>
      <c r="E202" s="7"/>
      <c r="F202" s="7"/>
      <c r="G202" s="7"/>
      <c r="H202" s="7"/>
      <c r="I202" s="7"/>
      <c r="J202" s="7"/>
    </row>
    <row r="203" spans="1:10" x14ac:dyDescent="0.2">
      <c r="A203" s="7"/>
      <c r="B203" s="7"/>
      <c r="C203" s="7"/>
      <c r="D203" s="7"/>
      <c r="E203" s="7"/>
      <c r="F203" s="7"/>
      <c r="G203" s="7"/>
      <c r="H203" s="7"/>
      <c r="I203" s="7"/>
      <c r="J203" s="7"/>
    </row>
    <row r="204" spans="1:10" x14ac:dyDescent="0.2">
      <c r="A204" s="7"/>
      <c r="B204" s="7"/>
      <c r="C204" s="7"/>
      <c r="D204" s="7"/>
      <c r="E204" s="7"/>
      <c r="F204" s="7"/>
      <c r="G204" s="7"/>
      <c r="H204" s="7"/>
      <c r="I204" s="7"/>
      <c r="J204" s="7"/>
    </row>
    <row r="205" spans="1:10" x14ac:dyDescent="0.2">
      <c r="A205" s="7"/>
      <c r="B205" s="7"/>
      <c r="C205" s="7"/>
      <c r="D205" s="7"/>
      <c r="E205" s="7"/>
      <c r="F205" s="7"/>
      <c r="G205" s="7"/>
      <c r="H205" s="7"/>
      <c r="I205" s="7"/>
      <c r="J205" s="7"/>
    </row>
    <row r="206" spans="1:10" x14ac:dyDescent="0.2">
      <c r="A206" s="7"/>
      <c r="B206" s="7"/>
      <c r="C206" s="7"/>
      <c r="D206" s="7"/>
      <c r="E206" s="7"/>
      <c r="F206" s="7"/>
      <c r="G206" s="7"/>
      <c r="H206" s="7"/>
      <c r="I206" s="7"/>
      <c r="J206" s="7"/>
    </row>
    <row r="207" spans="1:10" x14ac:dyDescent="0.2">
      <c r="A207" s="7"/>
      <c r="B207" s="7"/>
      <c r="C207" s="7"/>
      <c r="D207" s="7"/>
      <c r="E207" s="7"/>
      <c r="F207" s="7"/>
      <c r="G207" s="7"/>
      <c r="H207" s="7"/>
      <c r="I207" s="7"/>
      <c r="J207" s="7"/>
    </row>
    <row r="208" spans="1:10" x14ac:dyDescent="0.2">
      <c r="A208" s="7"/>
      <c r="B208" s="7"/>
      <c r="C208" s="7"/>
      <c r="D208" s="7"/>
      <c r="E208" s="7"/>
      <c r="F208" s="7"/>
      <c r="G208" s="7"/>
      <c r="H208" s="7"/>
      <c r="I208" s="7"/>
      <c r="J208" s="7"/>
    </row>
    <row r="209" spans="1:10" x14ac:dyDescent="0.2">
      <c r="A209" s="7"/>
      <c r="B209" s="7"/>
      <c r="C209" s="7"/>
      <c r="D209" s="7"/>
      <c r="E209" s="7"/>
      <c r="F209" s="7"/>
      <c r="G209" s="7"/>
      <c r="H209" s="7"/>
      <c r="I209" s="7"/>
      <c r="J209" s="7"/>
    </row>
    <row r="210" spans="1:10" x14ac:dyDescent="0.2">
      <c r="A210" s="7"/>
      <c r="B210" s="7"/>
      <c r="C210" s="7"/>
      <c r="D210" s="7"/>
      <c r="E210" s="7"/>
      <c r="F210" s="7"/>
      <c r="G210" s="7"/>
      <c r="H210" s="7"/>
      <c r="I210" s="7"/>
      <c r="J210" s="7"/>
    </row>
    <row r="211" spans="1:10" x14ac:dyDescent="0.2">
      <c r="A211" s="7"/>
      <c r="B211" s="7"/>
      <c r="C211" s="7"/>
      <c r="D211" s="7"/>
      <c r="E211" s="7"/>
      <c r="F211" s="7"/>
      <c r="G211" s="7"/>
      <c r="H211" s="7"/>
      <c r="I211" s="7"/>
      <c r="J211" s="7"/>
    </row>
    <row r="212" spans="1:10" x14ac:dyDescent="0.2">
      <c r="A212" s="7"/>
      <c r="B212" s="7"/>
      <c r="C212" s="7"/>
      <c r="D212" s="7"/>
      <c r="E212" s="7"/>
      <c r="F212" s="7"/>
      <c r="G212" s="7"/>
      <c r="H212" s="7"/>
      <c r="I212" s="7"/>
      <c r="J212" s="7"/>
    </row>
    <row r="213" spans="1:10" x14ac:dyDescent="0.2">
      <c r="A213" s="7"/>
      <c r="B213" s="7"/>
      <c r="C213" s="7"/>
      <c r="D213" s="7"/>
      <c r="E213" s="7"/>
      <c r="F213" s="7"/>
      <c r="G213" s="7"/>
      <c r="H213" s="7"/>
      <c r="I213" s="7"/>
      <c r="J213" s="7"/>
    </row>
    <row r="214" spans="1:10" x14ac:dyDescent="0.2">
      <c r="A214" s="7"/>
      <c r="B214" s="7"/>
      <c r="C214" s="7"/>
      <c r="D214" s="7"/>
      <c r="E214" s="7"/>
      <c r="F214" s="7"/>
      <c r="G214" s="7"/>
      <c r="H214" s="7"/>
      <c r="I214" s="7"/>
      <c r="J214" s="7"/>
    </row>
    <row r="215" spans="1:10" x14ac:dyDescent="0.2">
      <c r="A215" s="7"/>
      <c r="B215" s="7"/>
      <c r="C215" s="7"/>
      <c r="D215" s="7"/>
      <c r="E215" s="7"/>
      <c r="F215" s="7"/>
      <c r="G215" s="7"/>
      <c r="H215" s="7"/>
      <c r="I215" s="7"/>
      <c r="J215" s="7"/>
    </row>
    <row r="216" spans="1:10" x14ac:dyDescent="0.2">
      <c r="A216" s="7"/>
      <c r="B216" s="7"/>
      <c r="C216" s="7"/>
      <c r="D216" s="7"/>
      <c r="E216" s="7"/>
      <c r="F216" s="7"/>
      <c r="G216" s="7"/>
      <c r="H216" s="7"/>
      <c r="I216" s="7"/>
      <c r="J216" s="7"/>
    </row>
    <row r="217" spans="1:10" x14ac:dyDescent="0.2">
      <c r="A217" s="7"/>
      <c r="B217" s="7"/>
      <c r="C217" s="7"/>
      <c r="D217" s="7"/>
      <c r="E217" s="7"/>
      <c r="F217" s="7"/>
      <c r="G217" s="7"/>
      <c r="H217" s="7"/>
      <c r="I217" s="7"/>
      <c r="J217" s="7"/>
    </row>
    <row r="218" spans="1:10" x14ac:dyDescent="0.2">
      <c r="A218" s="7"/>
      <c r="B218" s="7"/>
      <c r="C218" s="7"/>
      <c r="D218" s="7"/>
      <c r="E218" s="7"/>
      <c r="F218" s="7"/>
      <c r="G218" s="7"/>
      <c r="H218" s="7"/>
      <c r="I218" s="7"/>
      <c r="J218" s="7"/>
    </row>
    <row r="219" spans="1:10" x14ac:dyDescent="0.2">
      <c r="A219" s="7"/>
      <c r="B219" s="7"/>
      <c r="C219" s="7"/>
      <c r="D219" s="7"/>
      <c r="E219" s="7"/>
      <c r="F219" s="7"/>
      <c r="G219" s="7"/>
      <c r="H219" s="7"/>
      <c r="I219" s="7"/>
      <c r="J219" s="7"/>
    </row>
    <row r="220" spans="1:10" x14ac:dyDescent="0.2">
      <c r="A220" s="7"/>
      <c r="B220" s="7"/>
      <c r="C220" s="7"/>
      <c r="D220" s="7"/>
      <c r="E220" s="7"/>
      <c r="F220" s="7"/>
      <c r="G220" s="7"/>
      <c r="H220" s="7"/>
      <c r="I220" s="7"/>
      <c r="J220" s="7"/>
    </row>
    <row r="221" spans="1:10" x14ac:dyDescent="0.2">
      <c r="A221" s="7"/>
      <c r="B221" s="7"/>
      <c r="C221" s="7"/>
      <c r="D221" s="7"/>
      <c r="E221" s="7"/>
      <c r="F221" s="7"/>
      <c r="G221" s="7"/>
      <c r="H221" s="7"/>
      <c r="I221" s="7"/>
      <c r="J221" s="7"/>
    </row>
    <row r="222" spans="1:10" x14ac:dyDescent="0.2">
      <c r="A222" s="7"/>
      <c r="B222" s="7"/>
      <c r="C222" s="7"/>
      <c r="D222" s="7"/>
      <c r="E222" s="7"/>
      <c r="F222" s="7"/>
      <c r="G222" s="7"/>
      <c r="H222" s="7"/>
      <c r="I222" s="7"/>
      <c r="J222" s="7"/>
    </row>
    <row r="223" spans="1:10" x14ac:dyDescent="0.2">
      <c r="A223" s="7"/>
      <c r="B223" s="7"/>
      <c r="C223" s="7"/>
      <c r="D223" s="7"/>
      <c r="E223" s="7"/>
      <c r="F223" s="7"/>
      <c r="G223" s="7"/>
      <c r="H223" s="7"/>
      <c r="I223" s="7"/>
      <c r="J223" s="7"/>
    </row>
    <row r="224" spans="1:10" x14ac:dyDescent="0.2">
      <c r="A224" s="7"/>
      <c r="B224" s="7"/>
      <c r="C224" s="7"/>
      <c r="D224" s="7"/>
      <c r="E224" s="7"/>
      <c r="F224" s="7"/>
      <c r="G224" s="7"/>
      <c r="H224" s="7"/>
      <c r="I224" s="7"/>
      <c r="J224" s="7"/>
    </row>
    <row r="225" spans="1:10" x14ac:dyDescent="0.2">
      <c r="A225" s="7"/>
      <c r="B225" s="7"/>
      <c r="C225" s="7"/>
      <c r="D225" s="7"/>
      <c r="E225" s="7"/>
      <c r="F225" s="7"/>
      <c r="G225" s="7"/>
      <c r="H225" s="7"/>
      <c r="I225" s="7"/>
      <c r="J225" s="7"/>
    </row>
    <row r="226" spans="1:10" x14ac:dyDescent="0.2">
      <c r="A226" s="7"/>
      <c r="B226" s="7"/>
      <c r="C226" s="7"/>
      <c r="D226" s="7"/>
      <c r="E226" s="7"/>
      <c r="F226" s="7"/>
      <c r="G226" s="7"/>
      <c r="H226" s="7"/>
      <c r="I226" s="7"/>
      <c r="J226" s="7"/>
    </row>
  </sheetData>
  <autoFilter ref="B8:I25" xr:uid="{00000000-0001-0000-0200-000000000000}"/>
  <phoneticPr fontId="25" type="noConversion"/>
  <conditionalFormatting sqref="H9:H25">
    <cfRule type="cellIs" dxfId="11" priority="1" operator="greaterThan">
      <formula>0</formula>
    </cfRule>
    <cfRule type="cellIs" dxfId="10" priority="2" operator="equal">
      <formula>0</formula>
    </cfRule>
  </conditionalFormatting>
  <hyperlinks>
    <hyperlink ref="C20" r:id="rId1" display="https://fantasy.premierleague.com/entry/1243183/history" xr:uid="{3441AD96-BF3C-4915-AA63-515760C8921E}"/>
    <hyperlink ref="C25" r:id="rId2" display="https://fantasy.premierleague.com/entry/8695328/history" xr:uid="{CF1AEB4E-7A91-4052-81E3-54E72A10FB3B}"/>
    <hyperlink ref="C16" r:id="rId3" display="https://fantasy.premierleague.com/entry/7264842/history" xr:uid="{FA4687B9-C6B4-431E-837F-C477E993D534}"/>
    <hyperlink ref="C14" r:id="rId4" display="https://fantasy.premierleague.com/entry/7022245/history" xr:uid="{C51FD35C-B611-42F6-A05F-7242A89C3D79}"/>
    <hyperlink ref="C13" r:id="rId5" display="https://fantasy.premierleague.com/entry/6487265/history" xr:uid="{10DD91A9-1526-439A-B6FE-B63DAC5BF0F7}"/>
    <hyperlink ref="C21" r:id="rId6" display="https://fantasy.premierleague.com/entry/4764943/history" xr:uid="{C909727E-0F93-40DA-92AF-DC6F0F0D9EC3}"/>
    <hyperlink ref="C24" r:id="rId7" display="https://fantasy.premierleague.com/entry/6410488/history" xr:uid="{F74BD887-A351-4B7B-9D96-8945F6ECAA2C}"/>
    <hyperlink ref="C22" r:id="rId8" display="https://fantasy.premierleague.com/entry/6175620/history" xr:uid="{6548DCD8-1862-4564-AA6D-791B8BB33834}"/>
    <hyperlink ref="C23" r:id="rId9" display="https://fantasy.premierleague.com/entry/4608814/history" xr:uid="{AADB136E-A7D8-48B0-BCDA-DB5904CBC842}"/>
    <hyperlink ref="C11" r:id="rId10" display="https://fantasy.premierleague.com/entry/3703048/history" xr:uid="{ECE7A62F-905C-4A0E-B1E7-35CEE1FDDC07}"/>
    <hyperlink ref="C10" r:id="rId11" display="https://fantasy.premierleague.com/entry/5265465/history" xr:uid="{AB1F24D0-268F-4513-BB73-E040473C79F4}"/>
    <hyperlink ref="C9" r:id="rId12" display="https://fantasy.premierleague.com/entry/5253170/history" xr:uid="{20D8B028-A294-4735-823A-6D378F591B52}"/>
    <hyperlink ref="C18" r:id="rId13" display="https://fantasy.premierleague.com/entry/5029495/history" xr:uid="{7A751FD8-6FF0-420C-B068-DDF89DC144CA}"/>
    <hyperlink ref="C15" r:id="rId14" display="https://fantasy.premierleague.com/entry/4990240/history" xr:uid="{5ED8C979-9A1B-4C9E-8488-0EB0F902B31F}"/>
    <hyperlink ref="C17" r:id="rId15" display="https://fantasy.premierleague.com/entry/3983382/history" xr:uid="{A590F24B-9B92-4603-A635-6F908619D21A}"/>
    <hyperlink ref="C12" r:id="rId16" display="https://fantasy.premierleague.com/entry/3390995/history" xr:uid="{7B117F14-3462-4EB8-A3D5-696AC0194367}"/>
    <hyperlink ref="C19" r:id="rId17" display="https://fantasy.premierleague.com/entry/8924713/history" xr:uid="{2D1AD8D0-9CB2-4A16-91E5-5B8CE0E999E4}"/>
  </hyperlinks>
  <pageMargins left="0.7" right="0.7" top="0.75" bottom="0.75" header="0" footer="0"/>
  <pageSetup paperSize="9" orientation="portrait"/>
  <drawing r:id="rId18"/>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ummaryRight="0"/>
  </sheetPr>
  <dimension ref="A1:T29"/>
  <sheetViews>
    <sheetView showGridLines="0" workbookViewId="0">
      <pane xSplit="2" ySplit="8" topLeftCell="C9" activePane="bottomRight" state="frozen"/>
      <selection pane="topRight"/>
      <selection pane="bottomLeft"/>
      <selection pane="bottomRight" activeCell="I27" sqref="I27"/>
    </sheetView>
  </sheetViews>
  <sheetFormatPr defaultColWidth="12.5703125" defaultRowHeight="11.25" outlineLevelCol="1" x14ac:dyDescent="0.2"/>
  <cols>
    <col min="1" max="1" width="2.42578125" style="8" customWidth="1"/>
    <col min="2" max="2" width="23.28515625" style="8" customWidth="1"/>
    <col min="3" max="4" width="14.28515625" style="8" customWidth="1"/>
    <col min="5" max="5" width="14.28515625" style="8" customWidth="1" outlineLevel="1"/>
    <col min="6" max="7" width="14.28515625" style="8" customWidth="1"/>
    <col min="8" max="9" width="12.5703125" style="8" customWidth="1"/>
    <col min="10" max="16384" width="12.5703125" style="8"/>
  </cols>
  <sheetData>
    <row r="1" spans="1:20" x14ac:dyDescent="0.2">
      <c r="A1" s="14"/>
      <c r="B1" s="14"/>
      <c r="C1" s="14"/>
      <c r="D1" s="14"/>
      <c r="E1" s="14"/>
      <c r="F1" s="14"/>
    </row>
    <row r="2" spans="1:20" x14ac:dyDescent="0.2">
      <c r="A2" s="14"/>
      <c r="B2" s="14"/>
      <c r="C2" s="14"/>
      <c r="D2" s="14"/>
      <c r="E2" s="14"/>
      <c r="F2" s="14"/>
    </row>
    <row r="3" spans="1:20" x14ac:dyDescent="0.2">
      <c r="A3" s="14"/>
      <c r="B3" s="14"/>
      <c r="C3" s="14"/>
      <c r="D3" s="14"/>
      <c r="E3" s="14"/>
      <c r="F3" s="14"/>
    </row>
    <row r="4" spans="1:20" x14ac:dyDescent="0.2">
      <c r="A4" s="14"/>
      <c r="B4" s="14"/>
      <c r="C4" s="14"/>
      <c r="D4" s="14"/>
      <c r="E4" s="14"/>
      <c r="F4" s="14"/>
    </row>
    <row r="5" spans="1:20" x14ac:dyDescent="0.2">
      <c r="A5" s="14"/>
      <c r="B5" s="14"/>
      <c r="C5" s="14"/>
      <c r="D5" s="14"/>
      <c r="E5" s="14"/>
      <c r="F5" s="14"/>
    </row>
    <row r="6" spans="1:20" x14ac:dyDescent="0.2">
      <c r="A6" s="14"/>
      <c r="B6" s="14"/>
      <c r="C6" s="14"/>
      <c r="D6" s="14"/>
      <c r="E6" s="14"/>
      <c r="F6" s="14"/>
    </row>
    <row r="7" spans="1:20" x14ac:dyDescent="0.2">
      <c r="A7" s="14"/>
      <c r="B7" s="14"/>
      <c r="C7" s="14"/>
      <c r="D7" s="14"/>
      <c r="E7" s="14"/>
      <c r="F7" s="14"/>
    </row>
    <row r="8" spans="1:20" ht="12.75" x14ac:dyDescent="0.2">
      <c r="A8" s="14"/>
      <c r="B8" s="77" t="s">
        <v>69</v>
      </c>
      <c r="C8" s="78" t="s">
        <v>70</v>
      </c>
      <c r="D8" s="78" t="s">
        <v>71</v>
      </c>
      <c r="E8" s="78" t="s">
        <v>72</v>
      </c>
      <c r="F8" s="78" t="s">
        <v>73</v>
      </c>
      <c r="G8" s="79" t="s">
        <v>29</v>
      </c>
      <c r="H8" s="79" t="s">
        <v>74</v>
      </c>
      <c r="I8" s="79" t="s">
        <v>75</v>
      </c>
    </row>
    <row r="9" spans="1:20" x14ac:dyDescent="0.2">
      <c r="A9" s="15"/>
      <c r="B9" s="21" t="s">
        <v>32</v>
      </c>
      <c r="C9" s="16">
        <f ca="1">SUMIF('Last Man Paying 2.0'!$D$9:$F$157,B9,'Last Man Paying 2.0'!$F$9:$F$157)</f>
        <v>1250</v>
      </c>
      <c r="D9" s="16">
        <v>0</v>
      </c>
      <c r="E9" s="16">
        <v>100</v>
      </c>
      <c r="F9" s="16">
        <v>0</v>
      </c>
      <c r="G9" s="16">
        <f t="shared" ref="G9:G24" ca="1" si="0">C9+D9+E9+F9</f>
        <v>1350</v>
      </c>
      <c r="H9" s="8">
        <f>SUMIF('Funds Received'!$C:$C,Budget!B9,'Funds Received'!$O:$O)</f>
        <v>950</v>
      </c>
      <c r="I9" s="97">
        <f ca="1">G9-H9</f>
        <v>400</v>
      </c>
    </row>
    <row r="10" spans="1:20" x14ac:dyDescent="0.2">
      <c r="A10" s="15"/>
      <c r="B10" s="21" t="s">
        <v>35</v>
      </c>
      <c r="C10" s="16">
        <f ca="1">SUMIF('Last Man Paying 2.0'!$D$9:$F$157,B10,'Last Man Paying 2.0'!$F$9:$F$157)</f>
        <v>1250</v>
      </c>
      <c r="D10" s="16">
        <v>0</v>
      </c>
      <c r="E10" s="16">
        <v>0</v>
      </c>
      <c r="F10" s="16">
        <v>0</v>
      </c>
      <c r="G10" s="16">
        <f t="shared" ca="1" si="0"/>
        <v>1250</v>
      </c>
      <c r="H10" s="8">
        <f>SUMIF('Funds Received'!$C:$C,Budget!B10,'Funds Received'!$O:$O)</f>
        <v>1250</v>
      </c>
      <c r="I10" s="97">
        <f t="shared" ref="I10:I25" ca="1" si="1">G10-H10</f>
        <v>0</v>
      </c>
    </row>
    <row r="11" spans="1:20" x14ac:dyDescent="0.2">
      <c r="A11" s="15"/>
      <c r="B11" s="21" t="s">
        <v>37</v>
      </c>
      <c r="C11" s="16">
        <f ca="1">SUMIF('Last Man Paying 2.0'!$D$9:$F$157,B11,'Last Man Paying 2.0'!$F$9:$F$157)</f>
        <v>950</v>
      </c>
      <c r="D11" s="16">
        <v>0</v>
      </c>
      <c r="E11" s="16">
        <v>100</v>
      </c>
      <c r="F11" s="16">
        <v>0</v>
      </c>
      <c r="G11" s="16">
        <f t="shared" ca="1" si="0"/>
        <v>1050</v>
      </c>
      <c r="H11" s="8">
        <f>SUMIF('Funds Received'!$C:$C,Budget!B11,'Funds Received'!$O:$O)</f>
        <v>450</v>
      </c>
      <c r="I11" s="97">
        <f t="shared" ca="1" si="1"/>
        <v>600</v>
      </c>
      <c r="T11" s="15"/>
    </row>
    <row r="12" spans="1:20" x14ac:dyDescent="0.2">
      <c r="A12" s="15"/>
      <c r="B12" s="21" t="s">
        <v>39</v>
      </c>
      <c r="C12" s="16">
        <f ca="1">SUMIF('Last Man Paying 2.0'!$D$9:$F$157,B12,'Last Man Paying 2.0'!$F$9:$F$157)</f>
        <v>550</v>
      </c>
      <c r="D12" s="16">
        <v>0</v>
      </c>
      <c r="E12" s="16">
        <v>0</v>
      </c>
      <c r="F12" s="16">
        <v>0</v>
      </c>
      <c r="G12" s="16">
        <f t="shared" ca="1" si="0"/>
        <v>550</v>
      </c>
      <c r="H12" s="8">
        <f>SUMIF('Funds Received'!$C:$C,Budget!B12,'Funds Received'!$O:$O)</f>
        <v>550</v>
      </c>
      <c r="I12" s="97">
        <f t="shared" ca="1" si="1"/>
        <v>0</v>
      </c>
      <c r="T12" s="15"/>
    </row>
    <row r="13" spans="1:20" x14ac:dyDescent="0.2">
      <c r="A13" s="15"/>
      <c r="B13" s="21" t="s">
        <v>41</v>
      </c>
      <c r="C13" s="16">
        <f ca="1">SUMIF('Last Man Paying 2.0'!$D$9:$F$157,B13,'Last Man Paying 2.0'!$F$9:$F$157)</f>
        <v>1450</v>
      </c>
      <c r="D13" s="16">
        <v>0</v>
      </c>
      <c r="E13" s="16">
        <v>0</v>
      </c>
      <c r="F13" s="16">
        <v>0</v>
      </c>
      <c r="G13" s="16">
        <f t="shared" ca="1" si="0"/>
        <v>1450</v>
      </c>
      <c r="H13" s="8">
        <f>SUMIF('Funds Received'!$C:$C,Budget!B13,'Funds Received'!$O:$O)</f>
        <v>950</v>
      </c>
      <c r="I13" s="97">
        <f t="shared" ca="1" si="1"/>
        <v>500</v>
      </c>
    </row>
    <row r="14" spans="1:20" x14ac:dyDescent="0.2">
      <c r="A14" s="15"/>
      <c r="B14" s="21" t="s">
        <v>43</v>
      </c>
      <c r="C14" s="16">
        <f ca="1">SUMIF('Last Man Paying 2.0'!$D$9:$F$157,B14,'Last Man Paying 2.0'!$F$9:$F$157)</f>
        <v>650</v>
      </c>
      <c r="D14" s="16">
        <v>0</v>
      </c>
      <c r="E14" s="16">
        <v>0</v>
      </c>
      <c r="F14" s="16">
        <v>0</v>
      </c>
      <c r="G14" s="16">
        <f t="shared" ca="1" si="0"/>
        <v>650</v>
      </c>
      <c r="H14" s="8">
        <f>SUMIF('Funds Received'!$C:$C,Budget!B14,'Funds Received'!$O:$O)</f>
        <v>550</v>
      </c>
      <c r="I14" s="97">
        <f t="shared" ca="1" si="1"/>
        <v>100</v>
      </c>
    </row>
    <row r="15" spans="1:20" x14ac:dyDescent="0.2">
      <c r="A15" s="15"/>
      <c r="B15" s="21" t="s">
        <v>45</v>
      </c>
      <c r="C15" s="16">
        <f ca="1">SUMIF('Last Man Paying 2.0'!$D$9:$F$157,B15,'Last Man Paying 2.0'!$F$9:$F$157)</f>
        <v>950</v>
      </c>
      <c r="D15" s="16">
        <v>0</v>
      </c>
      <c r="E15" s="16">
        <v>0</v>
      </c>
      <c r="F15" s="16">
        <v>0</v>
      </c>
      <c r="G15" s="16">
        <f t="shared" ca="1" si="0"/>
        <v>950</v>
      </c>
      <c r="H15" s="8">
        <f>SUMIF('Funds Received'!$C:$C,Budget!B15,'Funds Received'!$O:$O)</f>
        <v>750</v>
      </c>
      <c r="I15" s="97">
        <f t="shared" ca="1" si="1"/>
        <v>200</v>
      </c>
    </row>
    <row r="16" spans="1:20" x14ac:dyDescent="0.2">
      <c r="A16" s="15"/>
      <c r="B16" s="21" t="s">
        <v>47</v>
      </c>
      <c r="C16" s="16">
        <f ca="1">SUMIF('Last Man Paying 2.0'!$D$9:$F$157,B16,'Last Man Paying 2.0'!$F$9:$F$157)</f>
        <v>950</v>
      </c>
      <c r="D16" s="16">
        <v>0</v>
      </c>
      <c r="E16" s="16">
        <v>100</v>
      </c>
      <c r="F16" s="16">
        <v>0</v>
      </c>
      <c r="G16" s="16">
        <f t="shared" ca="1" si="0"/>
        <v>1050</v>
      </c>
      <c r="H16" s="8">
        <f>SUMIF('Funds Received'!$C:$C,Budget!B16,'Funds Received'!$O:$O)</f>
        <v>650</v>
      </c>
      <c r="I16" s="97">
        <f t="shared" ca="1" si="1"/>
        <v>400</v>
      </c>
    </row>
    <row r="17" spans="1:9" x14ac:dyDescent="0.2">
      <c r="A17" s="15"/>
      <c r="B17" s="21" t="s">
        <v>49</v>
      </c>
      <c r="C17" s="16">
        <f ca="1">SUMIF('Last Man Paying 2.0'!$D$9:$F$157,B17,'Last Man Paying 2.0'!$F$9:$F$157)</f>
        <v>750</v>
      </c>
      <c r="D17" s="16">
        <v>0</v>
      </c>
      <c r="E17" s="16">
        <v>100</v>
      </c>
      <c r="F17" s="16">
        <f>100+1200</f>
        <v>1300</v>
      </c>
      <c r="G17" s="16">
        <f t="shared" ca="1" si="0"/>
        <v>2150</v>
      </c>
      <c r="H17" s="8">
        <f>SUMIF('Funds Received'!$C:$C,Budget!B17,'Funds Received'!$O:$O)</f>
        <v>0</v>
      </c>
      <c r="I17" s="97">
        <f t="shared" ca="1" si="1"/>
        <v>2150</v>
      </c>
    </row>
    <row r="18" spans="1:9" x14ac:dyDescent="0.2">
      <c r="A18" s="15"/>
      <c r="B18" s="21" t="s">
        <v>52</v>
      </c>
      <c r="C18" s="16">
        <f ca="1">SUMIF('Last Man Paying 2.0'!$D$9:$F$157,B18,'Last Man Paying 2.0'!$F$9:$F$157)</f>
        <v>550</v>
      </c>
      <c r="D18" s="16">
        <v>100</v>
      </c>
      <c r="E18" s="16">
        <v>0</v>
      </c>
      <c r="F18" s="16">
        <v>0</v>
      </c>
      <c r="G18" s="16">
        <f t="shared" ca="1" si="0"/>
        <v>650</v>
      </c>
      <c r="H18" s="8">
        <f>SUMIF('Funds Received'!$C:$C,Budget!B18,'Funds Received'!$O:$O)</f>
        <v>650</v>
      </c>
      <c r="I18" s="97">
        <f t="shared" ca="1" si="1"/>
        <v>0</v>
      </c>
    </row>
    <row r="19" spans="1:9" x14ac:dyDescent="0.2">
      <c r="A19" s="15"/>
      <c r="B19" s="21" t="s">
        <v>55</v>
      </c>
      <c r="C19" s="16">
        <f ca="1">SUMIF('Last Man Paying 2.0'!$D$9:$F$157,B19,'Last Man Paying 2.0'!$F$9:$F$157)</f>
        <v>1050</v>
      </c>
      <c r="D19" s="16">
        <v>0</v>
      </c>
      <c r="E19" s="16">
        <v>0</v>
      </c>
      <c r="F19" s="16">
        <v>0</v>
      </c>
      <c r="G19" s="16">
        <f t="shared" ca="1" si="0"/>
        <v>1050</v>
      </c>
      <c r="H19" s="8">
        <f>SUMIF('Funds Received'!$C:$C,Budget!B19,'Funds Received'!$O:$O)</f>
        <v>1050</v>
      </c>
      <c r="I19" s="97">
        <f t="shared" ca="1" si="1"/>
        <v>0</v>
      </c>
    </row>
    <row r="20" spans="1:9" x14ac:dyDescent="0.2">
      <c r="A20" s="15"/>
      <c r="B20" s="21" t="s">
        <v>57</v>
      </c>
      <c r="C20" s="16">
        <f ca="1">SUMIF('Last Man Paying 2.0'!$D$9:$F$157,B20,'Last Man Paying 2.0'!$F$9:$F$157)</f>
        <v>1250</v>
      </c>
      <c r="D20" s="16">
        <v>0</v>
      </c>
      <c r="E20" s="16">
        <v>0</v>
      </c>
      <c r="F20" s="16">
        <v>0</v>
      </c>
      <c r="G20" s="16">
        <f t="shared" ca="1" si="0"/>
        <v>1250</v>
      </c>
      <c r="H20" s="8">
        <f>SUMIF('Funds Received'!$C:$C,Budget!B20,'Funds Received'!$O:$O)</f>
        <v>950</v>
      </c>
      <c r="I20" s="97">
        <f t="shared" ca="1" si="1"/>
        <v>300</v>
      </c>
    </row>
    <row r="21" spans="1:9" x14ac:dyDescent="0.2">
      <c r="A21" s="15"/>
      <c r="B21" s="21" t="s">
        <v>59</v>
      </c>
      <c r="C21" s="16">
        <f ca="1">SUMIF('Last Man Paying 2.0'!$D$9:$F$157,B21,'Last Man Paying 2.0'!$F$9:$F$157)</f>
        <v>350</v>
      </c>
      <c r="D21" s="16">
        <v>0</v>
      </c>
      <c r="E21" s="16">
        <v>100</v>
      </c>
      <c r="F21" s="16">
        <v>0</v>
      </c>
      <c r="G21" s="16">
        <f t="shared" ca="1" si="0"/>
        <v>450</v>
      </c>
      <c r="H21" s="8">
        <f>SUMIF('Funds Received'!$C:$C,Budget!B21,'Funds Received'!$O:$O)</f>
        <v>450</v>
      </c>
      <c r="I21" s="97">
        <f t="shared" ca="1" si="1"/>
        <v>0</v>
      </c>
    </row>
    <row r="22" spans="1:9" x14ac:dyDescent="0.2">
      <c r="B22" s="21" t="s">
        <v>61</v>
      </c>
      <c r="C22" s="16">
        <f ca="1">SUMIF('Last Man Paying 2.0'!$D$9:$F$157,B22,'Last Man Paying 2.0'!$F$9:$F$157)</f>
        <v>1550</v>
      </c>
      <c r="D22" s="16">
        <v>0</v>
      </c>
      <c r="E22" s="16">
        <v>0</v>
      </c>
      <c r="F22" s="16">
        <v>0</v>
      </c>
      <c r="G22" s="16">
        <f t="shared" ca="1" si="0"/>
        <v>1550</v>
      </c>
      <c r="H22" s="8">
        <f>SUMIF('Funds Received'!$C:$C,Budget!B22,'Funds Received'!$O:$O)</f>
        <v>1000</v>
      </c>
      <c r="I22" s="97">
        <f t="shared" ca="1" si="1"/>
        <v>550</v>
      </c>
    </row>
    <row r="23" spans="1:9" x14ac:dyDescent="0.2">
      <c r="B23" s="21" t="s">
        <v>63</v>
      </c>
      <c r="C23" s="16">
        <f ca="1">SUMIF('Last Man Paying 2.0'!$D$9:$F$157,B23,'Last Man Paying 2.0'!$F$9:$F$157)</f>
        <v>1150</v>
      </c>
      <c r="D23" s="16">
        <v>0</v>
      </c>
      <c r="E23" s="16">
        <v>100</v>
      </c>
      <c r="F23" s="16">
        <v>100</v>
      </c>
      <c r="G23" s="16">
        <f t="shared" ca="1" si="0"/>
        <v>1350</v>
      </c>
      <c r="H23" s="8">
        <f>SUMIF('Funds Received'!$C:$C,Budget!B23,'Funds Received'!$O:$O)</f>
        <v>650</v>
      </c>
      <c r="I23" s="97">
        <f t="shared" ca="1" si="1"/>
        <v>700</v>
      </c>
    </row>
    <row r="24" spans="1:9" x14ac:dyDescent="0.2">
      <c r="B24" s="21" t="s">
        <v>65</v>
      </c>
      <c r="C24" s="16">
        <f ca="1">SUMIF('Last Man Paying 2.0'!$D$9:$F$157,B24,'Last Man Paying 2.0'!$F$9:$F$157)</f>
        <v>950</v>
      </c>
      <c r="D24" s="16">
        <v>0</v>
      </c>
      <c r="E24" s="16">
        <v>100</v>
      </c>
      <c r="F24" s="16">
        <v>100</v>
      </c>
      <c r="G24" s="16">
        <f t="shared" ca="1" si="0"/>
        <v>1150</v>
      </c>
      <c r="H24" s="8">
        <f>SUMIF('Funds Received'!$C:$C,Budget!B24,'Funds Received'!$O:$O)</f>
        <v>1050</v>
      </c>
      <c r="I24" s="97">
        <f t="shared" ca="1" si="1"/>
        <v>100</v>
      </c>
    </row>
    <row r="25" spans="1:9" x14ac:dyDescent="0.2">
      <c r="B25" s="21" t="s">
        <v>67</v>
      </c>
      <c r="C25" s="16">
        <f ca="1">SUMIF('Last Man Paying 2.0'!$D$9:$F$157,B25,'Last Man Paying 2.0'!$F$9:$F$157)</f>
        <v>250</v>
      </c>
      <c r="D25" s="16">
        <v>0</v>
      </c>
      <c r="E25" s="16">
        <v>0</v>
      </c>
      <c r="F25" s="16">
        <v>0</v>
      </c>
      <c r="G25" s="16">
        <f ca="1">C25+D25+E25+F25</f>
        <v>250</v>
      </c>
      <c r="H25" s="8">
        <f>SUMIF('Funds Received'!$C:$C,Budget!B25,'Funds Received'!$O:$O)</f>
        <v>250</v>
      </c>
      <c r="I25" s="97">
        <f t="shared" ca="1" si="1"/>
        <v>0</v>
      </c>
    </row>
    <row r="26" spans="1:9" ht="12" thickBot="1" x14ac:dyDescent="0.25">
      <c r="B26" s="15"/>
    </row>
    <row r="27" spans="1:9" ht="12" thickBot="1" x14ac:dyDescent="0.25">
      <c r="B27" s="7" t="s">
        <v>76</v>
      </c>
      <c r="C27" s="17">
        <f ca="1">SUM(C9:C25)</f>
        <v>15850</v>
      </c>
      <c r="D27" s="18"/>
      <c r="E27" s="18"/>
      <c r="F27" s="18"/>
      <c r="G27" s="17">
        <f ca="1">SUM(G9:G25)</f>
        <v>18150</v>
      </c>
      <c r="I27" s="98">
        <f ca="1">SUM(I9:I25)</f>
        <v>6000</v>
      </c>
    </row>
    <row r="29" spans="1:9" x14ac:dyDescent="0.2">
      <c r="B29" s="19" t="s">
        <v>77</v>
      </c>
      <c r="C29" s="20">
        <f ca="1">AVERAGE(C9:C25)</f>
        <v>932.35294117647061</v>
      </c>
      <c r="D29" s="20"/>
      <c r="E29" s="20"/>
      <c r="F29" s="20"/>
      <c r="G29" s="20">
        <f ca="1">AVERAGE(G9:G25)</f>
        <v>1067.6470588235295</v>
      </c>
    </row>
  </sheetData>
  <autoFilter ref="A8:T25" xr:uid="{00000000-0001-0000-0300-000000000000}"/>
  <conditionalFormatting sqref="C25">
    <cfRule type="notContainsBlanks" dxfId="9" priority="3">
      <formula>LEN(TRIM(C25))&gt;0</formula>
    </cfRule>
  </conditionalFormatting>
  <conditionalFormatting sqref="C9:F24 D9:F25">
    <cfRule type="notContainsBlanks" dxfId="8" priority="4">
      <formula>LEN(TRIM(C9))&gt;0</formula>
    </cfRule>
  </conditionalFormatting>
  <conditionalFormatting sqref="D9:F25">
    <cfRule type="cellIs" dxfId="7" priority="2" operator="greaterThan">
      <formula>0</formula>
    </cfRule>
  </conditionalFormatting>
  <conditionalFormatting sqref="I9:I25">
    <cfRule type="cellIs" dxfId="6" priority="1" operator="lessThan">
      <formula>0</formula>
    </cfRule>
  </conditionalFormatting>
  <hyperlinks>
    <hyperlink ref="B20" r:id="rId1" display="https://fantasy.premierleague.com/entry/1243183/history" xr:uid="{A2C15ADA-CF68-4164-A3F9-FF0AAE33F564}"/>
    <hyperlink ref="B25" r:id="rId2" display="https://fantasy.premierleague.com/entry/8695328/history" xr:uid="{2B8B6ABB-2244-4CFE-A907-73DC79E7A797}"/>
    <hyperlink ref="B16" r:id="rId3" display="https://fantasy.premierleague.com/entry/7264842/history" xr:uid="{1562840A-CD19-48CA-A4C4-2830DE5D2E55}"/>
    <hyperlink ref="B14" r:id="rId4" display="https://fantasy.premierleague.com/entry/7022245/history" xr:uid="{745E3D57-231B-43A5-9BEA-570C5BAFED50}"/>
    <hyperlink ref="B13" r:id="rId5" display="https://fantasy.premierleague.com/entry/6487265/history" xr:uid="{286CE370-EDB7-4B61-8D13-3DCF73BC1979}"/>
    <hyperlink ref="B21" r:id="rId6" display="https://fantasy.premierleague.com/entry/4764943/history" xr:uid="{A348EEDB-ED3E-4A81-8A22-D6F33BDC7761}"/>
    <hyperlink ref="B24" r:id="rId7" display="https://fantasy.premierleague.com/entry/6410488/history" xr:uid="{8D2E3351-14E2-4644-9E7C-D6E86C219A12}"/>
    <hyperlink ref="B22" r:id="rId8" display="https://fantasy.premierleague.com/entry/6175620/history" xr:uid="{4E63FE50-C234-401E-B36F-1CA0FE1E442A}"/>
    <hyperlink ref="B23" r:id="rId9" display="https://fantasy.premierleague.com/entry/4608814/history" xr:uid="{83BE7C22-27D9-4E9F-85AF-905975E317AD}"/>
    <hyperlink ref="B11" r:id="rId10" display="https://fantasy.premierleague.com/entry/3703048/history" xr:uid="{B06C9C66-2578-4D91-9EF6-82CE5EA145C8}"/>
    <hyperlink ref="B10" r:id="rId11" display="https://fantasy.premierleague.com/entry/5265465/history" xr:uid="{4BF2556C-5BA4-4FD6-86F8-BA611BCF38F4}"/>
    <hyperlink ref="B9" r:id="rId12" display="https://fantasy.premierleague.com/entry/5253170/history" xr:uid="{EA5D0898-9FB2-4D52-BCD8-7646DE5CAFE2}"/>
    <hyperlink ref="B18" r:id="rId13" display="https://fantasy.premierleague.com/entry/5029495/history" xr:uid="{3931402C-6D0C-4845-97D3-10A97BEDA8BD}"/>
    <hyperlink ref="B15" r:id="rId14" display="https://fantasy.premierleague.com/entry/4990240/history" xr:uid="{FC04FCA4-AD3B-4BA4-85C2-D6CD28A842D4}"/>
    <hyperlink ref="B17" r:id="rId15" display="https://fantasy.premierleague.com/entry/3983382/history" xr:uid="{2D5AC07F-5E3C-418F-AE17-93E634096865}"/>
    <hyperlink ref="B12" r:id="rId16" display="https://fantasy.premierleague.com/entry/3390995/history" xr:uid="{48B97A24-FD30-48A1-95B6-91B2FCFFF60F}"/>
    <hyperlink ref="B19" r:id="rId17" display="https://fantasy.premierleague.com/entry/8924713/history" xr:uid="{909DB1E4-A5CC-4E11-A4AD-20B0167933D5}"/>
  </hyperlinks>
  <pageMargins left="0.7" right="0.7" top="0.75" bottom="0.75" header="0" footer="0"/>
  <pageSetup orientation="landscape"/>
  <drawing r:id="rId18"/>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1335C7-EB10-4A96-AC77-05798F890F93}">
  <dimension ref="A1:G36"/>
  <sheetViews>
    <sheetView workbookViewId="0">
      <selection sqref="A1:A2"/>
    </sheetView>
  </sheetViews>
  <sheetFormatPr defaultColWidth="30" defaultRowHeight="12.75" x14ac:dyDescent="0.2"/>
  <sheetData>
    <row r="1" spans="1:7" x14ac:dyDescent="0.2">
      <c r="A1" s="123"/>
      <c r="B1" s="125"/>
      <c r="C1" s="127"/>
      <c r="D1" s="101"/>
      <c r="E1" s="105"/>
      <c r="F1" s="146"/>
      <c r="G1" s="129"/>
    </row>
    <row r="2" spans="1:7" ht="13.5" thickBot="1" x14ac:dyDescent="0.25">
      <c r="A2" s="124"/>
      <c r="B2" s="126"/>
      <c r="C2" s="128"/>
      <c r="D2" s="102"/>
      <c r="E2" s="106"/>
      <c r="F2" s="147"/>
      <c r="G2" s="130"/>
    </row>
    <row r="3" spans="1:7" ht="13.5" thickTop="1" x14ac:dyDescent="0.2">
      <c r="A3" s="131"/>
      <c r="B3" s="103"/>
      <c r="C3" s="133"/>
      <c r="D3" s="134"/>
      <c r="E3" s="134"/>
      <c r="F3" s="134"/>
      <c r="G3" s="114"/>
    </row>
    <row r="4" spans="1:7" ht="13.5" thickBot="1" x14ac:dyDescent="0.25">
      <c r="A4" s="132"/>
      <c r="B4" s="107"/>
      <c r="C4" s="119"/>
      <c r="D4" s="121"/>
      <c r="E4" s="121"/>
      <c r="F4" s="121"/>
      <c r="G4" s="115"/>
    </row>
    <row r="5" spans="1:7" x14ac:dyDescent="0.2">
      <c r="A5" s="116"/>
      <c r="B5" s="103"/>
      <c r="C5" s="118"/>
      <c r="D5" s="120"/>
      <c r="E5" s="120"/>
      <c r="F5" s="120"/>
      <c r="G5" s="122"/>
    </row>
    <row r="6" spans="1:7" ht="13.5" thickBot="1" x14ac:dyDescent="0.25">
      <c r="A6" s="117"/>
      <c r="B6" s="107"/>
      <c r="C6" s="119"/>
      <c r="D6" s="121"/>
      <c r="E6" s="121"/>
      <c r="F6" s="121"/>
      <c r="G6" s="115"/>
    </row>
    <row r="7" spans="1:7" x14ac:dyDescent="0.2">
      <c r="A7" s="116"/>
      <c r="B7" s="103"/>
      <c r="C7" s="118"/>
      <c r="D7" s="120"/>
      <c r="E7" s="120"/>
      <c r="F7" s="120"/>
      <c r="G7" s="122"/>
    </row>
    <row r="8" spans="1:7" ht="13.5" thickBot="1" x14ac:dyDescent="0.25">
      <c r="A8" s="117"/>
      <c r="B8" s="107"/>
      <c r="C8" s="119"/>
      <c r="D8" s="121"/>
      <c r="E8" s="121"/>
      <c r="F8" s="121"/>
      <c r="G8" s="115"/>
    </row>
    <row r="9" spans="1:7" x14ac:dyDescent="0.2">
      <c r="A9" s="116"/>
      <c r="B9" s="103"/>
      <c r="C9" s="118"/>
      <c r="D9" s="120"/>
      <c r="E9" s="120"/>
      <c r="F9" s="120"/>
      <c r="G9" s="122"/>
    </row>
    <row r="10" spans="1:7" ht="13.5" thickBot="1" x14ac:dyDescent="0.25">
      <c r="A10" s="117"/>
      <c r="B10" s="107"/>
      <c r="C10" s="119"/>
      <c r="D10" s="121"/>
      <c r="E10" s="121"/>
      <c r="F10" s="121"/>
      <c r="G10" s="115"/>
    </row>
    <row r="11" spans="1:7" x14ac:dyDescent="0.2">
      <c r="A11" s="116"/>
      <c r="B11" s="103"/>
      <c r="C11" s="118"/>
      <c r="D11" s="120"/>
      <c r="E11" s="120"/>
      <c r="F11" s="120"/>
      <c r="G11" s="122"/>
    </row>
    <row r="12" spans="1:7" ht="13.5" thickBot="1" x14ac:dyDescent="0.25">
      <c r="A12" s="117"/>
      <c r="B12" s="107"/>
      <c r="C12" s="119"/>
      <c r="D12" s="121"/>
      <c r="E12" s="121"/>
      <c r="F12" s="121"/>
      <c r="G12" s="115"/>
    </row>
    <row r="13" spans="1:7" x14ac:dyDescent="0.2">
      <c r="A13" s="116"/>
      <c r="B13" s="103"/>
      <c r="C13" s="135"/>
      <c r="D13" s="120"/>
      <c r="E13" s="120"/>
      <c r="F13" s="120"/>
      <c r="G13" s="122"/>
    </row>
    <row r="14" spans="1:7" ht="13.5" thickBot="1" x14ac:dyDescent="0.25">
      <c r="A14" s="117"/>
      <c r="B14" s="107"/>
      <c r="C14" s="136"/>
      <c r="D14" s="121"/>
      <c r="E14" s="121"/>
      <c r="F14" s="121"/>
      <c r="G14" s="115"/>
    </row>
    <row r="15" spans="1:7" x14ac:dyDescent="0.2">
      <c r="A15" s="116"/>
      <c r="B15" s="103"/>
      <c r="C15" s="118"/>
      <c r="D15" s="120"/>
      <c r="E15" s="120"/>
      <c r="F15" s="120"/>
      <c r="G15" s="122"/>
    </row>
    <row r="16" spans="1:7" ht="13.5" thickBot="1" x14ac:dyDescent="0.25">
      <c r="A16" s="117"/>
      <c r="B16" s="107"/>
      <c r="C16" s="119"/>
      <c r="D16" s="121"/>
      <c r="E16" s="121"/>
      <c r="F16" s="121"/>
      <c r="G16" s="115"/>
    </row>
    <row r="17" spans="1:7" x14ac:dyDescent="0.2">
      <c r="A17" s="116"/>
      <c r="B17" s="103"/>
      <c r="C17" s="118"/>
      <c r="D17" s="120"/>
      <c r="E17" s="120"/>
      <c r="F17" s="120"/>
      <c r="G17" s="122"/>
    </row>
    <row r="18" spans="1:7" ht="13.5" thickBot="1" x14ac:dyDescent="0.25">
      <c r="A18" s="117"/>
      <c r="B18" s="107"/>
      <c r="C18" s="119"/>
      <c r="D18" s="121"/>
      <c r="E18" s="121"/>
      <c r="F18" s="121"/>
      <c r="G18" s="115"/>
    </row>
    <row r="19" spans="1:7" x14ac:dyDescent="0.2">
      <c r="A19" s="116"/>
      <c r="B19" s="103"/>
      <c r="C19" s="135"/>
      <c r="D19" s="120"/>
      <c r="E19" s="120"/>
      <c r="F19" s="120"/>
      <c r="G19" s="122"/>
    </row>
    <row r="20" spans="1:7" ht="13.5" thickBot="1" x14ac:dyDescent="0.25">
      <c r="A20" s="117"/>
      <c r="B20" s="107"/>
      <c r="C20" s="136"/>
      <c r="D20" s="121"/>
      <c r="E20" s="121"/>
      <c r="F20" s="121"/>
      <c r="G20" s="115"/>
    </row>
    <row r="21" spans="1:7" x14ac:dyDescent="0.2">
      <c r="A21" s="137"/>
      <c r="B21" s="108"/>
      <c r="C21" s="139"/>
      <c r="D21" s="141"/>
      <c r="E21" s="141"/>
      <c r="F21" s="141"/>
      <c r="G21" s="122"/>
    </row>
    <row r="22" spans="1:7" ht="13.5" thickBot="1" x14ac:dyDescent="0.25">
      <c r="A22" s="138"/>
      <c r="B22" s="104"/>
      <c r="C22" s="140"/>
      <c r="D22" s="142"/>
      <c r="E22" s="142"/>
      <c r="F22" s="142"/>
      <c r="G22" s="115"/>
    </row>
    <row r="23" spans="1:7" x14ac:dyDescent="0.2">
      <c r="A23" s="116"/>
      <c r="B23" s="103"/>
      <c r="C23" s="135"/>
      <c r="D23" s="120"/>
      <c r="E23" s="120"/>
      <c r="F23" s="120"/>
      <c r="G23" s="122"/>
    </row>
    <row r="24" spans="1:7" ht="13.5" thickBot="1" x14ac:dyDescent="0.25">
      <c r="A24" s="117"/>
      <c r="B24" s="107"/>
      <c r="C24" s="136"/>
      <c r="D24" s="121"/>
      <c r="E24" s="121"/>
      <c r="F24" s="121"/>
      <c r="G24" s="115"/>
    </row>
    <row r="25" spans="1:7" x14ac:dyDescent="0.2">
      <c r="A25" s="116"/>
      <c r="B25" s="103"/>
      <c r="C25" s="135"/>
      <c r="D25" s="120"/>
      <c r="E25" s="120"/>
      <c r="F25" s="120"/>
      <c r="G25" s="122"/>
    </row>
    <row r="26" spans="1:7" ht="13.5" thickBot="1" x14ac:dyDescent="0.25">
      <c r="A26" s="117"/>
      <c r="B26" s="107"/>
      <c r="C26" s="136"/>
      <c r="D26" s="121"/>
      <c r="E26" s="121"/>
      <c r="F26" s="121"/>
      <c r="G26" s="115"/>
    </row>
    <row r="27" spans="1:7" x14ac:dyDescent="0.2">
      <c r="A27" s="116"/>
      <c r="B27" s="103"/>
      <c r="C27" s="118"/>
      <c r="D27" s="120"/>
      <c r="E27" s="120"/>
      <c r="F27" s="120"/>
      <c r="G27" s="122"/>
    </row>
    <row r="28" spans="1:7" ht="13.5" thickBot="1" x14ac:dyDescent="0.25">
      <c r="A28" s="117"/>
      <c r="B28" s="107"/>
      <c r="C28" s="119"/>
      <c r="D28" s="121"/>
      <c r="E28" s="121"/>
      <c r="F28" s="121"/>
      <c r="G28" s="115"/>
    </row>
    <row r="29" spans="1:7" x14ac:dyDescent="0.2">
      <c r="A29" s="116"/>
      <c r="B29" s="103"/>
      <c r="C29" s="135"/>
      <c r="D29" s="120"/>
      <c r="E29" s="120"/>
      <c r="F29" s="120"/>
      <c r="G29" s="143"/>
    </row>
    <row r="30" spans="1:7" ht="13.5" thickBot="1" x14ac:dyDescent="0.25">
      <c r="A30" s="117"/>
      <c r="B30" s="107"/>
      <c r="C30" s="136"/>
      <c r="D30" s="121"/>
      <c r="E30" s="121"/>
      <c r="F30" s="121"/>
      <c r="G30" s="144"/>
    </row>
    <row r="31" spans="1:7" x14ac:dyDescent="0.2">
      <c r="A31" s="116"/>
      <c r="B31" s="103"/>
      <c r="C31" s="135"/>
      <c r="D31" s="120"/>
      <c r="E31" s="120"/>
      <c r="F31" s="120"/>
      <c r="G31" s="122"/>
    </row>
    <row r="32" spans="1:7" ht="13.5" thickBot="1" x14ac:dyDescent="0.25">
      <c r="A32" s="117"/>
      <c r="B32" s="107"/>
      <c r="C32" s="136"/>
      <c r="D32" s="121"/>
      <c r="E32" s="121"/>
      <c r="F32" s="121"/>
      <c r="G32" s="115"/>
    </row>
    <row r="33" spans="1:7" x14ac:dyDescent="0.2">
      <c r="A33" s="116"/>
      <c r="B33" s="103"/>
      <c r="C33" s="135"/>
      <c r="D33" s="120"/>
      <c r="E33" s="120"/>
      <c r="F33" s="120"/>
      <c r="G33" s="122"/>
    </row>
    <row r="34" spans="1:7" ht="13.5" thickBot="1" x14ac:dyDescent="0.25">
      <c r="A34" s="117"/>
      <c r="B34" s="107"/>
      <c r="C34" s="136"/>
      <c r="D34" s="121"/>
      <c r="E34" s="121"/>
      <c r="F34" s="121"/>
      <c r="G34" s="115"/>
    </row>
    <row r="35" spans="1:7" x14ac:dyDescent="0.2">
      <c r="A35" s="116"/>
      <c r="B35" s="103"/>
      <c r="C35" s="135"/>
      <c r="D35" s="120"/>
      <c r="E35" s="120"/>
      <c r="F35" s="120"/>
      <c r="G35" s="122"/>
    </row>
    <row r="36" spans="1:7" x14ac:dyDescent="0.2">
      <c r="A36" s="148"/>
      <c r="B36" s="107"/>
      <c r="C36" s="149"/>
      <c r="D36" s="150"/>
      <c r="E36" s="150"/>
      <c r="F36" s="150"/>
      <c r="G36" s="145"/>
    </row>
  </sheetData>
  <mergeCells count="107">
    <mergeCell ref="G35:G36"/>
    <mergeCell ref="F1:F2"/>
    <mergeCell ref="A35:A36"/>
    <mergeCell ref="C35:C36"/>
    <mergeCell ref="D35:D36"/>
    <mergeCell ref="E35:E36"/>
    <mergeCell ref="F35:F36"/>
    <mergeCell ref="G31:G32"/>
    <mergeCell ref="A33:A34"/>
    <mergeCell ref="C33:C34"/>
    <mergeCell ref="D33:D34"/>
    <mergeCell ref="E33:E34"/>
    <mergeCell ref="F33:F34"/>
    <mergeCell ref="G33:G34"/>
    <mergeCell ref="A31:A32"/>
    <mergeCell ref="C31:C32"/>
    <mergeCell ref="D31:D32"/>
    <mergeCell ref="E31:E32"/>
    <mergeCell ref="F31:F32"/>
    <mergeCell ref="G27:G28"/>
    <mergeCell ref="A29:A30"/>
    <mergeCell ref="C29:C30"/>
    <mergeCell ref="D29:D30"/>
    <mergeCell ref="E29:E30"/>
    <mergeCell ref="F29:F30"/>
    <mergeCell ref="G29:G30"/>
    <mergeCell ref="A27:A28"/>
    <mergeCell ref="C27:C28"/>
    <mergeCell ref="D27:D28"/>
    <mergeCell ref="E27:E28"/>
    <mergeCell ref="F27:F28"/>
    <mergeCell ref="G23:G24"/>
    <mergeCell ref="A25:A26"/>
    <mergeCell ref="C25:C26"/>
    <mergeCell ref="D25:D26"/>
    <mergeCell ref="E25:E26"/>
    <mergeCell ref="F25:F26"/>
    <mergeCell ref="G25:G26"/>
    <mergeCell ref="A23:A24"/>
    <mergeCell ref="C23:C24"/>
    <mergeCell ref="D23:D24"/>
    <mergeCell ref="E23:E24"/>
    <mergeCell ref="F23:F24"/>
    <mergeCell ref="G19:G20"/>
    <mergeCell ref="A21:A22"/>
    <mergeCell ref="C21:C22"/>
    <mergeCell ref="D21:D22"/>
    <mergeCell ref="E21:E22"/>
    <mergeCell ref="F21:F22"/>
    <mergeCell ref="G21:G22"/>
    <mergeCell ref="A19:A20"/>
    <mergeCell ref="C19:C20"/>
    <mergeCell ref="D19:D20"/>
    <mergeCell ref="E19:E20"/>
    <mergeCell ref="F19:F20"/>
    <mergeCell ref="G15:G16"/>
    <mergeCell ref="A17:A18"/>
    <mergeCell ref="C17:C18"/>
    <mergeCell ref="D17:D18"/>
    <mergeCell ref="E17:E18"/>
    <mergeCell ref="F17:F18"/>
    <mergeCell ref="G17:G18"/>
    <mergeCell ref="A15:A16"/>
    <mergeCell ref="C15:C16"/>
    <mergeCell ref="D15:D16"/>
    <mergeCell ref="E15:E16"/>
    <mergeCell ref="F15:F16"/>
    <mergeCell ref="G11:G12"/>
    <mergeCell ref="A13:A14"/>
    <mergeCell ref="C13:C14"/>
    <mergeCell ref="D13:D14"/>
    <mergeCell ref="E13:E14"/>
    <mergeCell ref="F13:F14"/>
    <mergeCell ref="G13:G14"/>
    <mergeCell ref="A11:A12"/>
    <mergeCell ref="C11:C12"/>
    <mergeCell ref="D11:D12"/>
    <mergeCell ref="E11:E12"/>
    <mergeCell ref="F11:F12"/>
    <mergeCell ref="G7:G8"/>
    <mergeCell ref="A9:A10"/>
    <mergeCell ref="C9:C10"/>
    <mergeCell ref="D9:D10"/>
    <mergeCell ref="E9:E10"/>
    <mergeCell ref="F9:F10"/>
    <mergeCell ref="G9:G10"/>
    <mergeCell ref="A7:A8"/>
    <mergeCell ref="C7:C8"/>
    <mergeCell ref="D7:D8"/>
    <mergeCell ref="E7:E8"/>
    <mergeCell ref="F7:F8"/>
    <mergeCell ref="G3:G4"/>
    <mergeCell ref="A5:A6"/>
    <mergeCell ref="C5:C6"/>
    <mergeCell ref="D5:D6"/>
    <mergeCell ref="E5:E6"/>
    <mergeCell ref="F5:F6"/>
    <mergeCell ref="G5:G6"/>
    <mergeCell ref="A1:A2"/>
    <mergeCell ref="B1:B2"/>
    <mergeCell ref="C1:C2"/>
    <mergeCell ref="G1:G2"/>
    <mergeCell ref="A3:A4"/>
    <mergeCell ref="C3:C4"/>
    <mergeCell ref="D3:D4"/>
    <mergeCell ref="E3:E4"/>
    <mergeCell ref="F3:F4"/>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outlinePr summaryBelow="0" summaryRight="0"/>
  </sheetPr>
  <dimension ref="A1:T163"/>
  <sheetViews>
    <sheetView showGridLines="0" workbookViewId="0">
      <pane xSplit="5" ySplit="8" topLeftCell="F119" activePane="bottomRight" state="frozen"/>
      <selection pane="topRight" activeCell="F1" sqref="F1"/>
      <selection pane="bottomLeft" activeCell="A3" sqref="A3"/>
      <selection pane="bottomRight" activeCell="D145" sqref="D145"/>
    </sheetView>
  </sheetViews>
  <sheetFormatPr defaultColWidth="12.5703125" defaultRowHeight="11.25" outlineLevelRow="1" outlineLevelCol="1" x14ac:dyDescent="0.2"/>
  <cols>
    <col min="1" max="1" width="2.5703125" style="8" customWidth="1"/>
    <col min="2" max="2" width="12.5703125" style="8" customWidth="1"/>
    <col min="3" max="3" width="4" style="8" customWidth="1"/>
    <col min="4" max="4" width="20.42578125" style="8" bestFit="1" customWidth="1"/>
    <col min="5" max="5" width="20.85546875" style="8" bestFit="1" customWidth="1"/>
    <col min="6" max="6" width="12.5703125" style="8" customWidth="1" collapsed="1"/>
    <col min="7" max="7" width="19" style="8" hidden="1" customWidth="1" outlineLevel="1"/>
    <col min="8" max="19" width="12.5703125" style="8"/>
    <col min="20" max="20" width="15.42578125" style="8" hidden="1" customWidth="1"/>
    <col min="21" max="16384" width="12.5703125" style="8"/>
  </cols>
  <sheetData>
    <row r="1" spans="1:20" x14ac:dyDescent="0.2">
      <c r="A1" s="27"/>
      <c r="B1" s="28"/>
      <c r="C1" s="28"/>
      <c r="D1" s="28"/>
      <c r="E1" s="28"/>
      <c r="F1" s="28"/>
    </row>
    <row r="2" spans="1:20" x14ac:dyDescent="0.2">
      <c r="A2" s="27"/>
      <c r="B2" s="28"/>
      <c r="C2" s="28"/>
      <c r="D2" s="28"/>
      <c r="E2" s="28"/>
      <c r="F2" s="28"/>
    </row>
    <row r="3" spans="1:20" x14ac:dyDescent="0.2">
      <c r="A3" s="27"/>
      <c r="B3" s="28"/>
      <c r="C3" s="28"/>
      <c r="D3" s="28"/>
      <c r="E3" s="28"/>
      <c r="F3" s="28"/>
    </row>
    <row r="4" spans="1:20" x14ac:dyDescent="0.2">
      <c r="A4" s="27"/>
      <c r="B4" s="28"/>
      <c r="C4" s="28"/>
      <c r="D4" s="28"/>
      <c r="E4" s="28"/>
      <c r="F4" s="28"/>
    </row>
    <row r="5" spans="1:20" x14ac:dyDescent="0.2">
      <c r="A5" s="27"/>
      <c r="B5" s="28"/>
      <c r="C5" s="28"/>
      <c r="D5" s="28"/>
      <c r="E5" s="28"/>
      <c r="F5" s="28"/>
    </row>
    <row r="6" spans="1:20" x14ac:dyDescent="0.2">
      <c r="A6" s="27"/>
      <c r="B6" s="28"/>
      <c r="C6" s="28"/>
      <c r="D6" s="28"/>
      <c r="E6" s="28"/>
      <c r="F6" s="28"/>
    </row>
    <row r="7" spans="1:20" x14ac:dyDescent="0.2">
      <c r="A7" s="27"/>
      <c r="B7" s="28"/>
      <c r="C7" s="28"/>
      <c r="D7" s="28"/>
      <c r="E7" s="28"/>
      <c r="F7" s="28"/>
    </row>
    <row r="8" spans="1:20" s="53" customFormat="1" ht="12.75" collapsed="1" x14ac:dyDescent="0.2">
      <c r="A8" s="52"/>
      <c r="B8" s="25" t="s">
        <v>78</v>
      </c>
      <c r="C8" s="25" t="s">
        <v>24</v>
      </c>
      <c r="D8" s="25" t="s">
        <v>69</v>
      </c>
      <c r="E8" s="25" t="s">
        <v>25</v>
      </c>
      <c r="F8" s="25" t="s">
        <v>70</v>
      </c>
      <c r="G8" s="25" t="s">
        <v>79</v>
      </c>
    </row>
    <row r="9" spans="1:20" hidden="1" outlineLevel="1" x14ac:dyDescent="0.2">
      <c r="A9" s="15"/>
      <c r="B9" s="29"/>
      <c r="C9" s="29"/>
      <c r="D9" s="29" t="s">
        <v>32</v>
      </c>
      <c r="E9" s="29" t="str">
        <f>IFERROR(VLOOKUP(D9,Roster!$C$8:$D$25,2,),"To be determined")</f>
        <v>A Cunha Matata</v>
      </c>
      <c r="F9" s="18">
        <v>250</v>
      </c>
      <c r="G9" s="12" t="s">
        <v>75</v>
      </c>
      <c r="T9" s="15" t="s">
        <v>80</v>
      </c>
    </row>
    <row r="10" spans="1:20" hidden="1" outlineLevel="1" x14ac:dyDescent="0.2">
      <c r="A10" s="15"/>
      <c r="B10" s="29"/>
      <c r="C10" s="29"/>
      <c r="D10" s="29" t="s">
        <v>35</v>
      </c>
      <c r="E10" s="29" t="str">
        <f>IFERROR(VLOOKUP(D10,Roster!$C$8:$D$25,2,),"To be determined")</f>
        <v>Boehlys World Champs</v>
      </c>
      <c r="F10" s="18">
        <v>250</v>
      </c>
      <c r="G10" s="12" t="s">
        <v>75</v>
      </c>
      <c r="T10" s="15" t="s">
        <v>75</v>
      </c>
    </row>
    <row r="11" spans="1:20" hidden="1" outlineLevel="1" x14ac:dyDescent="0.2">
      <c r="A11" s="15"/>
      <c r="B11" s="29"/>
      <c r="C11" s="29"/>
      <c r="D11" s="29" t="s">
        <v>37</v>
      </c>
      <c r="E11" s="29" t="str">
        <f>IFERROR(VLOOKUP(D11,Roster!$C$8:$D$25,2,),"To be determined")</f>
        <v>Bruno, dos, tres</v>
      </c>
      <c r="F11" s="18">
        <v>250</v>
      </c>
      <c r="G11" s="12" t="s">
        <v>75</v>
      </c>
      <c r="T11" s="15"/>
    </row>
    <row r="12" spans="1:20" hidden="1" outlineLevel="1" x14ac:dyDescent="0.2">
      <c r="A12" s="15"/>
      <c r="B12" s="29"/>
      <c r="C12" s="29"/>
      <c r="D12" s="29" t="s">
        <v>39</v>
      </c>
      <c r="E12" s="29" t="str">
        <f>IFERROR(VLOOKUP(D12,Roster!$C$8:$D$25,2,),"To be determined")</f>
        <v>Hidden Hills</v>
      </c>
      <c r="F12" s="18">
        <v>250</v>
      </c>
      <c r="G12" s="12" t="s">
        <v>75</v>
      </c>
    </row>
    <row r="13" spans="1:20" hidden="1" outlineLevel="1" x14ac:dyDescent="0.2">
      <c r="A13" s="15"/>
      <c r="B13" s="29"/>
      <c r="C13" s="29"/>
      <c r="D13" s="29" t="s">
        <v>41</v>
      </c>
      <c r="E13" s="29" t="str">
        <f>IFERROR(VLOOKUP(D13,Roster!$C$8:$D$25,2,),"To be determined")</f>
        <v>Hot Slot FC</v>
      </c>
      <c r="F13" s="18">
        <v>250</v>
      </c>
      <c r="G13" s="12" t="s">
        <v>75</v>
      </c>
    </row>
    <row r="14" spans="1:20" hidden="1" outlineLevel="1" x14ac:dyDescent="0.2">
      <c r="A14" s="15"/>
      <c r="B14" s="29"/>
      <c r="C14" s="29"/>
      <c r="D14" s="29" t="s">
        <v>43</v>
      </c>
      <c r="E14" s="29" t="str">
        <f>IFERROR(VLOOKUP(D14,Roster!$C$8:$D$25,2,),"To be determined")</f>
        <v>Iam_ntombela</v>
      </c>
      <c r="F14" s="18">
        <v>250</v>
      </c>
      <c r="G14" s="12" t="s">
        <v>75</v>
      </c>
    </row>
    <row r="15" spans="1:20" hidden="1" outlineLevel="1" x14ac:dyDescent="0.2">
      <c r="A15" s="15"/>
      <c r="B15" s="29"/>
      <c r="C15" s="29"/>
      <c r="D15" s="29" t="s">
        <v>45</v>
      </c>
      <c r="E15" s="29" t="str">
        <f>IFERROR(VLOOKUP(D15,Roster!$C$8:$D$25,2,),"To be determined")</f>
        <v>Joao Island</v>
      </c>
      <c r="F15" s="18">
        <v>250</v>
      </c>
      <c r="G15" s="12" t="s">
        <v>75</v>
      </c>
    </row>
    <row r="16" spans="1:20" hidden="1" outlineLevel="1" x14ac:dyDescent="0.2">
      <c r="A16" s="15"/>
      <c r="B16" s="29"/>
      <c r="C16" s="29"/>
      <c r="D16" s="29" t="s">
        <v>47</v>
      </c>
      <c r="E16" s="29" t="str">
        <f>IFERROR(VLOOKUP(D16,Roster!$C$8:$D$25,2,),"To be determined")</f>
        <v>JustGimmeDeLigt</v>
      </c>
      <c r="F16" s="18">
        <v>250</v>
      </c>
      <c r="G16" s="12" t="s">
        <v>75</v>
      </c>
    </row>
    <row r="17" spans="1:7" hidden="1" outlineLevel="1" x14ac:dyDescent="0.2">
      <c r="A17" s="15"/>
      <c r="B17" s="29"/>
      <c r="C17" s="29"/>
      <c r="D17" s="29" t="s">
        <v>49</v>
      </c>
      <c r="E17" s="29" t="str">
        <f>IFERROR(VLOOKUP(D17,Roster!$C$8:$D$25,2,),"To be determined")</f>
        <v>Los Primeros</v>
      </c>
      <c r="F17" s="18">
        <v>250</v>
      </c>
      <c r="G17" s="12" t="s">
        <v>75</v>
      </c>
    </row>
    <row r="18" spans="1:7" hidden="1" outlineLevel="1" x14ac:dyDescent="0.2">
      <c r="A18" s="15"/>
      <c r="B18" s="29"/>
      <c r="C18" s="29"/>
      <c r="D18" s="29" t="s">
        <v>52</v>
      </c>
      <c r="E18" s="29" t="str">
        <f>IFERROR(VLOOKUP(D18,Roster!$C$8:$D$25,2,),"To be determined")</f>
        <v>Palmergeddon</v>
      </c>
      <c r="F18" s="18">
        <v>250</v>
      </c>
      <c r="G18" s="12" t="s">
        <v>75</v>
      </c>
    </row>
    <row r="19" spans="1:7" hidden="1" outlineLevel="1" x14ac:dyDescent="0.2">
      <c r="A19" s="15"/>
      <c r="B19" s="29"/>
      <c r="C19" s="29"/>
      <c r="D19" s="29" t="s">
        <v>55</v>
      </c>
      <c r="E19" s="29" t="str">
        <f>IFERROR(VLOOKUP(D19,Roster!$C$8:$D$25,2,),"To be determined")</f>
        <v>Rice Rice Baby</v>
      </c>
      <c r="F19" s="18">
        <v>250</v>
      </c>
      <c r="G19" s="12" t="s">
        <v>75</v>
      </c>
    </row>
    <row r="20" spans="1:7" hidden="1" outlineLevel="1" x14ac:dyDescent="0.2">
      <c r="A20" s="15"/>
      <c r="B20" s="29"/>
      <c r="C20" s="29"/>
      <c r="D20" s="29" t="s">
        <v>57</v>
      </c>
      <c r="E20" s="29" t="str">
        <f>IFERROR(VLOOKUP(D20,Roster!$C$8:$D$25,2,),"To be determined")</f>
        <v>Root_.5 FC</v>
      </c>
      <c r="F20" s="18">
        <v>250</v>
      </c>
      <c r="G20" s="12" t="s">
        <v>75</v>
      </c>
    </row>
    <row r="21" spans="1:7" hidden="1" outlineLevel="1" x14ac:dyDescent="0.2">
      <c r="A21" s="15"/>
      <c r="B21" s="29"/>
      <c r="C21" s="29"/>
      <c r="D21" s="29" t="s">
        <v>59</v>
      </c>
      <c r="E21" s="29" t="str">
        <f>IFERROR(VLOOKUP(D21,Roster!$C$8:$D$25,2,),"To be determined")</f>
        <v>Šeśko Mode</v>
      </c>
      <c r="F21" s="18">
        <v>250</v>
      </c>
      <c r="G21" s="12" t="s">
        <v>75</v>
      </c>
    </row>
    <row r="22" spans="1:7" hidden="1" outlineLevel="1" x14ac:dyDescent="0.2">
      <c r="A22" s="15"/>
      <c r="B22" s="29"/>
      <c r="C22" s="29"/>
      <c r="D22" s="29" t="s">
        <v>61</v>
      </c>
      <c r="E22" s="29" t="str">
        <f>IFERROR(VLOOKUP(D22,Roster!$C$8:$D$25,2,),"To be determined")</f>
        <v>Sthe Coqueto</v>
      </c>
      <c r="F22" s="18">
        <v>250</v>
      </c>
      <c r="G22" s="12" t="s">
        <v>75</v>
      </c>
    </row>
    <row r="23" spans="1:7" hidden="1" outlineLevel="1" x14ac:dyDescent="0.2">
      <c r="A23" s="15"/>
      <c r="B23" s="29"/>
      <c r="C23" s="29"/>
      <c r="D23" s="29" t="s">
        <v>63</v>
      </c>
      <c r="E23" s="29" t="str">
        <f>IFERROR(VLOOKUP(D23,Roster!$C$8:$D$25,2,),"To be determined")</f>
        <v>SzoboSlay</v>
      </c>
      <c r="F23" s="18">
        <v>250</v>
      </c>
      <c r="G23" s="12" t="s">
        <v>75</v>
      </c>
    </row>
    <row r="24" spans="1:7" hidden="1" outlineLevel="1" x14ac:dyDescent="0.2">
      <c r="A24" s="15"/>
      <c r="B24" s="29"/>
      <c r="C24" s="29"/>
      <c r="D24" s="29" t="s">
        <v>65</v>
      </c>
      <c r="E24" s="29" t="str">
        <f>IFERROR(VLOOKUP(D24,Roster!$C$8:$D$25,2,),"To be determined")</f>
        <v>TAYDO FC</v>
      </c>
      <c r="F24" s="18">
        <v>250</v>
      </c>
      <c r="G24" s="12" t="s">
        <v>75</v>
      </c>
    </row>
    <row r="25" spans="1:7" hidden="1" outlineLevel="1" x14ac:dyDescent="0.2">
      <c r="A25" s="15"/>
      <c r="B25" s="29"/>
      <c r="C25" s="29"/>
      <c r="D25" s="29" t="s">
        <v>67</v>
      </c>
      <c r="E25" s="29" t="str">
        <f>IFERROR(VLOOKUP(D25,Roster!$C$8:$D$25,2,),"To be determined")</f>
        <v>Walala WaSalah</v>
      </c>
      <c r="F25" s="18">
        <v>250</v>
      </c>
      <c r="G25" s="12" t="s">
        <v>75</v>
      </c>
    </row>
    <row r="26" spans="1:7" x14ac:dyDescent="0.2">
      <c r="A26" s="15"/>
      <c r="B26" s="29" t="s">
        <v>81</v>
      </c>
      <c r="C26" s="30">
        <v>1</v>
      </c>
      <c r="D26" s="29" t="s">
        <v>61</v>
      </c>
      <c r="E26" s="31" t="str">
        <f>IFERROR(VLOOKUP(D26,Roster!$C$8:$D$25,2,),"To be determined")</f>
        <v>Sthe Coqueto</v>
      </c>
      <c r="F26" s="32">
        <v>100</v>
      </c>
      <c r="G26" s="12" t="s">
        <v>75</v>
      </c>
    </row>
    <row r="27" spans="1:7" x14ac:dyDescent="0.2">
      <c r="A27" s="15"/>
      <c r="B27" s="29"/>
      <c r="C27" s="33">
        <v>2</v>
      </c>
      <c r="D27" s="29" t="s">
        <v>41</v>
      </c>
      <c r="E27" s="34" t="str">
        <f>IFERROR(VLOOKUP(D27,Roster!$C$8:$D$25,2,),"To be determined")</f>
        <v>Hot Slot FC</v>
      </c>
      <c r="F27" s="35">
        <v>100</v>
      </c>
      <c r="G27" s="12" t="s">
        <v>75</v>
      </c>
    </row>
    <row r="28" spans="1:7" x14ac:dyDescent="0.2">
      <c r="A28" s="15"/>
      <c r="B28" s="29"/>
      <c r="C28" s="36">
        <v>3</v>
      </c>
      <c r="D28" s="29" t="s">
        <v>37</v>
      </c>
      <c r="E28" s="37" t="str">
        <f>IFERROR(VLOOKUP(D28,Roster!$C$8:$D$25,2,),"To be determined")</f>
        <v>Bruno, dos, tres</v>
      </c>
      <c r="F28" s="38">
        <v>100</v>
      </c>
      <c r="G28" s="12" t="s">
        <v>75</v>
      </c>
    </row>
    <row r="29" spans="1:7" x14ac:dyDescent="0.2">
      <c r="A29" s="15"/>
      <c r="B29" s="29"/>
      <c r="C29" s="39">
        <v>4</v>
      </c>
      <c r="D29" s="29" t="s">
        <v>32</v>
      </c>
      <c r="E29" s="40" t="str">
        <f>IFERROR(VLOOKUP(D29,Roster!$C$8:$D$25,2,),"To be determined")</f>
        <v>A Cunha Matata</v>
      </c>
      <c r="F29" s="41">
        <v>100</v>
      </c>
      <c r="G29" s="12" t="s">
        <v>75</v>
      </c>
    </row>
    <row r="30" spans="1:7" x14ac:dyDescent="0.2">
      <c r="A30" s="15"/>
      <c r="B30" s="29" t="s">
        <v>82</v>
      </c>
      <c r="C30" s="30">
        <v>1</v>
      </c>
      <c r="D30" s="29" t="s">
        <v>61</v>
      </c>
      <c r="E30" s="31" t="str">
        <f>IFERROR(VLOOKUP(D30,Roster!$C$8:$D$25,2,),"To be determined")</f>
        <v>Sthe Coqueto</v>
      </c>
      <c r="F30" s="32">
        <v>100</v>
      </c>
      <c r="G30" s="12" t="s">
        <v>75</v>
      </c>
    </row>
    <row r="31" spans="1:7" x14ac:dyDescent="0.2">
      <c r="A31" s="15"/>
      <c r="B31" s="29"/>
      <c r="C31" s="33">
        <v>2</v>
      </c>
      <c r="D31" s="29" t="s">
        <v>39</v>
      </c>
      <c r="E31" s="34" t="str">
        <f>IFERROR(VLOOKUP(D31,Roster!$C$8:$D$25,2,),"To be determined")</f>
        <v>Hidden Hills</v>
      </c>
      <c r="F31" s="35">
        <v>100</v>
      </c>
      <c r="G31" s="12" t="s">
        <v>75</v>
      </c>
    </row>
    <row r="32" spans="1:7" x14ac:dyDescent="0.2">
      <c r="A32" s="15"/>
      <c r="B32" s="29"/>
      <c r="C32" s="36">
        <v>3</v>
      </c>
      <c r="D32" s="29" t="s">
        <v>57</v>
      </c>
      <c r="E32" s="37" t="str">
        <f>IFERROR(VLOOKUP(D32,Roster!$C$8:$D$25,2,),"To be determined")</f>
        <v>Root_.5 FC</v>
      </c>
      <c r="F32" s="38">
        <v>100</v>
      </c>
      <c r="G32" s="12" t="s">
        <v>75</v>
      </c>
    </row>
    <row r="33" spans="1:7" x14ac:dyDescent="0.2">
      <c r="A33" s="15"/>
      <c r="B33" s="29" t="s">
        <v>83</v>
      </c>
      <c r="C33" s="30">
        <v>1</v>
      </c>
      <c r="D33" s="29" t="s">
        <v>41</v>
      </c>
      <c r="E33" s="31" t="str">
        <f>IFERROR(VLOOKUP(D33,Roster!$C$8:$D$25,2,),"To be determined")</f>
        <v>Hot Slot FC</v>
      </c>
      <c r="F33" s="32">
        <v>100</v>
      </c>
      <c r="G33" s="12" t="s">
        <v>75</v>
      </c>
    </row>
    <row r="34" spans="1:7" x14ac:dyDescent="0.2">
      <c r="A34" s="15"/>
      <c r="B34" s="29"/>
      <c r="C34" s="33">
        <v>2</v>
      </c>
      <c r="D34" s="29" t="s">
        <v>57</v>
      </c>
      <c r="E34" s="34" t="str">
        <f>IFERROR(VLOOKUP(D34,Roster!$C$8:$D$25,2,),"To be determined")</f>
        <v>Root_.5 FC</v>
      </c>
      <c r="F34" s="35">
        <v>100</v>
      </c>
      <c r="G34" s="12" t="s">
        <v>75</v>
      </c>
    </row>
    <row r="35" spans="1:7" x14ac:dyDescent="0.2">
      <c r="A35" s="15"/>
      <c r="B35" s="29"/>
      <c r="C35" s="36">
        <v>3</v>
      </c>
      <c r="D35" s="29" t="s">
        <v>55</v>
      </c>
      <c r="E35" s="37" t="str">
        <f>IFERROR(VLOOKUP(D35,Roster!$C$8:$D$25,2,),"To be determined")</f>
        <v>Rice Rice Baby</v>
      </c>
      <c r="F35" s="38">
        <v>100</v>
      </c>
      <c r="G35" s="12" t="s">
        <v>75</v>
      </c>
    </row>
    <row r="36" spans="1:7" x14ac:dyDescent="0.2">
      <c r="A36" s="15"/>
      <c r="B36" s="29" t="s">
        <v>84</v>
      </c>
      <c r="C36" s="30">
        <v>1</v>
      </c>
      <c r="D36" s="29" t="s">
        <v>61</v>
      </c>
      <c r="E36" s="31" t="str">
        <f>IFERROR(VLOOKUP(D36,Roster!$C$8:$D$25,2,),"To be determined")</f>
        <v>Sthe Coqueto</v>
      </c>
      <c r="F36" s="32">
        <v>100</v>
      </c>
      <c r="G36" s="12" t="s">
        <v>75</v>
      </c>
    </row>
    <row r="37" spans="1:7" x14ac:dyDescent="0.2">
      <c r="A37" s="15"/>
      <c r="B37" s="29"/>
      <c r="C37" s="33">
        <v>2</v>
      </c>
      <c r="D37" s="29" t="s">
        <v>63</v>
      </c>
      <c r="E37" s="34" t="str">
        <f>IFERROR(VLOOKUP(D37,Roster!$C$8:$D$25,2,),"To be determined")</f>
        <v>SzoboSlay</v>
      </c>
      <c r="F37" s="35">
        <v>100</v>
      </c>
      <c r="G37" s="12" t="s">
        <v>75</v>
      </c>
    </row>
    <row r="38" spans="1:7" x14ac:dyDescent="0.2">
      <c r="A38" s="15"/>
      <c r="B38" s="29"/>
      <c r="C38" s="36">
        <v>3</v>
      </c>
      <c r="D38" s="29" t="s">
        <v>32</v>
      </c>
      <c r="E38" s="37" t="str">
        <f>IFERROR(VLOOKUP(D38,Roster!$C$8:$D$25,2,),"To be determined")</f>
        <v>A Cunha Matata</v>
      </c>
      <c r="F38" s="38">
        <v>100</v>
      </c>
      <c r="G38" s="12" t="s">
        <v>75</v>
      </c>
    </row>
    <row r="39" spans="1:7" x14ac:dyDescent="0.2">
      <c r="A39" s="15"/>
      <c r="B39" s="29"/>
      <c r="C39" s="39">
        <v>4</v>
      </c>
      <c r="D39" s="29" t="s">
        <v>43</v>
      </c>
      <c r="E39" s="40" t="str">
        <f>IFERROR(VLOOKUP(D39,Roster!$C$8:$D$25,2,),"To be determined")</f>
        <v>Iam_ntombela</v>
      </c>
      <c r="F39" s="41">
        <v>100</v>
      </c>
      <c r="G39" s="12" t="s">
        <v>75</v>
      </c>
    </row>
    <row r="40" spans="1:7" x14ac:dyDescent="0.2">
      <c r="A40" s="15"/>
      <c r="B40" s="29" t="s">
        <v>85</v>
      </c>
      <c r="C40" s="30">
        <v>1</v>
      </c>
      <c r="D40" s="29" t="s">
        <v>35</v>
      </c>
      <c r="E40" s="31" t="str">
        <f>IFERROR(VLOOKUP(D40,Roster!$C$8:$D$25,2,),"To be determined")</f>
        <v>Boehlys World Champs</v>
      </c>
      <c r="F40" s="32">
        <v>100</v>
      </c>
      <c r="G40" s="12" t="s">
        <v>75</v>
      </c>
    </row>
    <row r="41" spans="1:7" x14ac:dyDescent="0.2">
      <c r="A41" s="15"/>
      <c r="B41" s="29"/>
      <c r="C41" s="33">
        <v>2</v>
      </c>
      <c r="D41" s="29" t="s">
        <v>49</v>
      </c>
      <c r="E41" s="34" t="str">
        <f>IFERROR(VLOOKUP(D41,Roster!$C$8:$D$25,2,),"To be determined")</f>
        <v>Los Primeros</v>
      </c>
      <c r="F41" s="35">
        <v>100</v>
      </c>
      <c r="G41" s="12" t="s">
        <v>75</v>
      </c>
    </row>
    <row r="42" spans="1:7" x14ac:dyDescent="0.2">
      <c r="A42" s="15"/>
      <c r="B42" s="29"/>
      <c r="C42" s="36">
        <v>3</v>
      </c>
      <c r="D42" s="29" t="s">
        <v>55</v>
      </c>
      <c r="E42" s="37" t="str">
        <f>IFERROR(VLOOKUP(D42,Roster!$C$8:$D$25,2,),"To be determined")</f>
        <v>Rice Rice Baby</v>
      </c>
      <c r="F42" s="38">
        <v>100</v>
      </c>
      <c r="G42" s="12" t="s">
        <v>75</v>
      </c>
    </row>
    <row r="43" spans="1:7" x14ac:dyDescent="0.2">
      <c r="A43" s="15"/>
      <c r="B43" s="29" t="s">
        <v>86</v>
      </c>
      <c r="C43" s="30">
        <v>1</v>
      </c>
      <c r="D43" s="29" t="s">
        <v>41</v>
      </c>
      <c r="E43" s="31" t="str">
        <f>IFERROR(VLOOKUP(D43,Roster!$C$8:$D$25,2,),"To be determined")</f>
        <v>Hot Slot FC</v>
      </c>
      <c r="F43" s="32">
        <v>100</v>
      </c>
      <c r="G43" s="12" t="s">
        <v>75</v>
      </c>
    </row>
    <row r="44" spans="1:7" x14ac:dyDescent="0.2">
      <c r="A44" s="15"/>
      <c r="B44" s="29"/>
      <c r="C44" s="33">
        <v>2</v>
      </c>
      <c r="D44" s="29" t="s">
        <v>32</v>
      </c>
      <c r="E44" s="34" t="str">
        <f>IFERROR(VLOOKUP(D44,Roster!$C$8:$D$25,2,),"To be determined")</f>
        <v>A Cunha Matata</v>
      </c>
      <c r="F44" s="35">
        <v>100</v>
      </c>
      <c r="G44" s="12" t="s">
        <v>75</v>
      </c>
    </row>
    <row r="45" spans="1:7" x14ac:dyDescent="0.2">
      <c r="A45" s="15"/>
      <c r="B45" s="29"/>
      <c r="C45" s="36">
        <v>3</v>
      </c>
      <c r="D45" s="29" t="s">
        <v>65</v>
      </c>
      <c r="E45" s="37" t="str">
        <f>IFERROR(VLOOKUP(D45,Roster!$C$8:$D$25,2,),"To be determined")</f>
        <v>TAYDO FC</v>
      </c>
      <c r="F45" s="38">
        <v>100</v>
      </c>
      <c r="G45" s="12" t="s">
        <v>75</v>
      </c>
    </row>
    <row r="46" spans="1:7" x14ac:dyDescent="0.2">
      <c r="A46" s="15"/>
      <c r="B46" s="29" t="s">
        <v>87</v>
      </c>
      <c r="C46" s="30">
        <v>1</v>
      </c>
      <c r="D46" s="29" t="s">
        <v>45</v>
      </c>
      <c r="E46" s="31" t="str">
        <f>IFERROR(VLOOKUP(D46,Roster!$C$8:$D$25,2,),"To be determined")</f>
        <v>Joao Island</v>
      </c>
      <c r="F46" s="32">
        <v>100</v>
      </c>
      <c r="G46" s="12" t="s">
        <v>75</v>
      </c>
    </row>
    <row r="47" spans="1:7" x14ac:dyDescent="0.2">
      <c r="A47" s="15"/>
      <c r="B47" s="29"/>
      <c r="C47" s="33">
        <v>2</v>
      </c>
      <c r="D47" s="29" t="s">
        <v>35</v>
      </c>
      <c r="E47" s="34" t="str">
        <f>IFERROR(VLOOKUP(D47,Roster!$C$8:$D$25,2,),"To be determined")</f>
        <v>Boehlys World Champs</v>
      </c>
      <c r="F47" s="35">
        <v>100</v>
      </c>
      <c r="G47" s="12" t="s">
        <v>75</v>
      </c>
    </row>
    <row r="48" spans="1:7" x14ac:dyDescent="0.2">
      <c r="A48" s="15"/>
      <c r="B48" s="29"/>
      <c r="C48" s="36">
        <v>3</v>
      </c>
      <c r="D48" s="29" t="s">
        <v>37</v>
      </c>
      <c r="E48" s="37" t="str">
        <f>IFERROR(VLOOKUP(D48,Roster!$C$8:$D$25,2,),"To be determined")</f>
        <v>Bruno, dos, tres</v>
      </c>
      <c r="F48" s="38">
        <v>100</v>
      </c>
      <c r="G48" s="12" t="s">
        <v>75</v>
      </c>
    </row>
    <row r="49" spans="1:8" x14ac:dyDescent="0.2">
      <c r="A49" s="15"/>
      <c r="B49" s="29" t="s">
        <v>88</v>
      </c>
      <c r="C49" s="30">
        <v>1</v>
      </c>
      <c r="D49" s="29" t="s">
        <v>45</v>
      </c>
      <c r="E49" s="31" t="str">
        <f>IFERROR(VLOOKUP(D49,Roster!$C$8:$D$25,2,),"To be determined")</f>
        <v>Joao Island</v>
      </c>
      <c r="F49" s="32">
        <v>100</v>
      </c>
      <c r="G49" s="12" t="s">
        <v>75</v>
      </c>
    </row>
    <row r="50" spans="1:8" x14ac:dyDescent="0.2">
      <c r="A50" s="15"/>
      <c r="B50" s="29"/>
      <c r="C50" s="33">
        <v>2</v>
      </c>
      <c r="D50" s="29" t="s">
        <v>57</v>
      </c>
      <c r="E50" s="34" t="str">
        <f>IFERROR(VLOOKUP(D50,Roster!$C$8:$D$25,2,),"To be determined")</f>
        <v>Root_.5 FC</v>
      </c>
      <c r="F50" s="35">
        <v>100</v>
      </c>
      <c r="G50" s="12" t="s">
        <v>75</v>
      </c>
    </row>
    <row r="51" spans="1:8" x14ac:dyDescent="0.2">
      <c r="A51" s="15"/>
      <c r="B51" s="29"/>
      <c r="C51" s="36">
        <v>3</v>
      </c>
      <c r="D51" s="29" t="s">
        <v>63</v>
      </c>
      <c r="E51" s="37" t="str">
        <f>IFERROR(VLOOKUP(D51,Roster!$C$8:$D$25,2,),"To be determined")</f>
        <v>SzoboSlay</v>
      </c>
      <c r="F51" s="38">
        <v>100</v>
      </c>
      <c r="G51" s="12" t="s">
        <v>75</v>
      </c>
    </row>
    <row r="52" spans="1:8" x14ac:dyDescent="0.2">
      <c r="A52" s="15"/>
      <c r="B52" s="29"/>
      <c r="C52" s="39">
        <v>4</v>
      </c>
      <c r="D52" s="29" t="s">
        <v>47</v>
      </c>
      <c r="E52" s="40" t="str">
        <f>IFERROR(VLOOKUP(D52,Roster!$C$8:$D$25,2,),"To be determined")</f>
        <v>JustGimmeDeLigt</v>
      </c>
      <c r="F52" s="41">
        <v>100</v>
      </c>
      <c r="G52" s="12" t="s">
        <v>75</v>
      </c>
    </row>
    <row r="53" spans="1:8" x14ac:dyDescent="0.2">
      <c r="A53" s="15"/>
      <c r="B53" s="29" t="s">
        <v>89</v>
      </c>
      <c r="C53" s="30">
        <v>1</v>
      </c>
      <c r="D53" s="29" t="s">
        <v>57</v>
      </c>
      <c r="E53" s="31" t="str">
        <f>IFERROR(VLOOKUP(D53,Roster!$C$8:$D$25,2,),"To be determined")</f>
        <v>Root_.5 FC</v>
      </c>
      <c r="F53" s="32">
        <v>100</v>
      </c>
      <c r="G53" s="12" t="s">
        <v>75</v>
      </c>
    </row>
    <row r="54" spans="1:8" x14ac:dyDescent="0.2">
      <c r="A54" s="15"/>
      <c r="B54" s="29"/>
      <c r="C54" s="33">
        <v>2</v>
      </c>
      <c r="D54" s="29" t="s">
        <v>41</v>
      </c>
      <c r="E54" s="34" t="str">
        <f>IFERROR(VLOOKUP(D54,Roster!$C$8:$D$25,2,),"To be determined")</f>
        <v>Hot Slot FC</v>
      </c>
      <c r="F54" s="35">
        <v>100</v>
      </c>
      <c r="G54" s="12" t="s">
        <v>75</v>
      </c>
    </row>
    <row r="55" spans="1:8" x14ac:dyDescent="0.2">
      <c r="A55" s="15"/>
      <c r="B55" s="29"/>
      <c r="C55" s="36">
        <v>3</v>
      </c>
      <c r="D55" s="29" t="s">
        <v>63</v>
      </c>
      <c r="E55" s="37" t="str">
        <f>IFERROR(VLOOKUP(D55,Roster!$C$8:$D$25,2,),"To be determined")</f>
        <v>SzoboSlay</v>
      </c>
      <c r="F55" s="38">
        <v>100</v>
      </c>
      <c r="G55" s="12" t="s">
        <v>75</v>
      </c>
    </row>
    <row r="56" spans="1:8" x14ac:dyDescent="0.2">
      <c r="A56" s="15"/>
      <c r="B56" s="29" t="s">
        <v>90</v>
      </c>
      <c r="C56" s="30">
        <v>1</v>
      </c>
      <c r="D56" s="29" t="s">
        <v>49</v>
      </c>
      <c r="E56" s="31" t="str">
        <f>IFERROR(VLOOKUP(D56,Roster!$C$8:$D$25,2,),"To be determined")</f>
        <v>Los Primeros</v>
      </c>
      <c r="F56" s="32">
        <v>100</v>
      </c>
      <c r="G56" s="12" t="s">
        <v>75</v>
      </c>
    </row>
    <row r="57" spans="1:8" x14ac:dyDescent="0.2">
      <c r="A57" s="15"/>
      <c r="B57" s="29"/>
      <c r="C57" s="33">
        <v>2</v>
      </c>
      <c r="D57" s="29" t="s">
        <v>65</v>
      </c>
      <c r="E57" s="34" t="str">
        <f>IFERROR(VLOOKUP(D57,Roster!$C$8:$D$25,2,),"To be determined")</f>
        <v>TAYDO FC</v>
      </c>
      <c r="F57" s="35">
        <v>100</v>
      </c>
      <c r="G57" s="12" t="s">
        <v>75</v>
      </c>
    </row>
    <row r="58" spans="1:8" x14ac:dyDescent="0.2">
      <c r="A58" s="15"/>
      <c r="B58" s="29"/>
      <c r="C58" s="36">
        <v>3</v>
      </c>
      <c r="D58" s="29" t="s">
        <v>32</v>
      </c>
      <c r="E58" s="37" t="str">
        <f>IFERROR(VLOOKUP(D58,Roster!$C$8:$D$25,2,),"To be determined")</f>
        <v>A Cunha Matata</v>
      </c>
      <c r="F58" s="38">
        <v>100</v>
      </c>
      <c r="G58" s="12" t="s">
        <v>75</v>
      </c>
    </row>
    <row r="59" spans="1:8" x14ac:dyDescent="0.2">
      <c r="A59" s="15"/>
      <c r="B59" s="29"/>
      <c r="C59" s="39">
        <v>4</v>
      </c>
      <c r="D59" s="29" t="s">
        <v>35</v>
      </c>
      <c r="E59" s="40" t="str">
        <f>IFERROR(VLOOKUP(D59,Roster!$C$8:$D$25,2,),"To be determined")</f>
        <v>Boehlys World Champs</v>
      </c>
      <c r="F59" s="41">
        <v>100</v>
      </c>
      <c r="G59" s="12" t="s">
        <v>75</v>
      </c>
    </row>
    <row r="60" spans="1:8" x14ac:dyDescent="0.2">
      <c r="A60" s="15"/>
      <c r="B60" s="29" t="s">
        <v>91</v>
      </c>
      <c r="C60" s="30">
        <v>1</v>
      </c>
      <c r="D60" s="29" t="s">
        <v>55</v>
      </c>
      <c r="E60" s="31" t="str">
        <f>IFERROR(VLOOKUP(D60,Roster!$C$8:$D$25,2,),"To be determined")</f>
        <v>Rice Rice Baby</v>
      </c>
      <c r="F60" s="32">
        <v>100</v>
      </c>
      <c r="G60" s="12" t="s">
        <v>75</v>
      </c>
      <c r="H60" s="42"/>
    </row>
    <row r="61" spans="1:8" x14ac:dyDescent="0.2">
      <c r="A61" s="15"/>
      <c r="B61" s="29"/>
      <c r="C61" s="33">
        <v>2</v>
      </c>
      <c r="D61" s="29" t="s">
        <v>35</v>
      </c>
      <c r="E61" s="34" t="str">
        <f>IFERROR(VLOOKUP(D61,Roster!$C$8:$D$25,2,),"To be determined")</f>
        <v>Boehlys World Champs</v>
      </c>
      <c r="F61" s="35">
        <v>100</v>
      </c>
      <c r="G61" s="12" t="s">
        <v>75</v>
      </c>
    </row>
    <row r="62" spans="1:8" x14ac:dyDescent="0.2">
      <c r="A62" s="15"/>
      <c r="B62" s="29"/>
      <c r="C62" s="36">
        <v>3</v>
      </c>
      <c r="D62" s="29" t="s">
        <v>63</v>
      </c>
      <c r="E62" s="37" t="str">
        <f>IFERROR(VLOOKUP(D62,Roster!$C$8:$D$25,2,),"To be determined")</f>
        <v>SzoboSlay</v>
      </c>
      <c r="F62" s="38">
        <v>100</v>
      </c>
      <c r="G62" s="12" t="s">
        <v>75</v>
      </c>
    </row>
    <row r="63" spans="1:8" x14ac:dyDescent="0.2">
      <c r="A63" s="15"/>
      <c r="B63" s="29"/>
      <c r="C63" s="39">
        <v>4</v>
      </c>
      <c r="D63" s="29" t="s">
        <v>57</v>
      </c>
      <c r="E63" s="40" t="str">
        <f>IFERROR(VLOOKUP(D63,Roster!$C$8:$D$25,2,),"To be determined")</f>
        <v>Root_.5 FC</v>
      </c>
      <c r="F63" s="41">
        <v>100</v>
      </c>
      <c r="G63" s="12" t="s">
        <v>75</v>
      </c>
    </row>
    <row r="64" spans="1:8" x14ac:dyDescent="0.2">
      <c r="A64" s="15"/>
      <c r="B64" s="29" t="s">
        <v>92</v>
      </c>
      <c r="C64" s="30">
        <v>1</v>
      </c>
      <c r="D64" s="29" t="s">
        <v>45</v>
      </c>
      <c r="E64" s="31" t="str">
        <f>IFERROR(VLOOKUP(D64,Roster!$C$8:$D$25,2,),"To be determined")</f>
        <v>Joao Island</v>
      </c>
      <c r="F64" s="32">
        <v>100</v>
      </c>
      <c r="G64" s="12" t="s">
        <v>75</v>
      </c>
    </row>
    <row r="65" spans="1:7" x14ac:dyDescent="0.2">
      <c r="A65" s="15"/>
      <c r="B65" s="29"/>
      <c r="C65" s="33">
        <v>2</v>
      </c>
      <c r="D65" s="29" t="s">
        <v>61</v>
      </c>
      <c r="E65" s="34" t="str">
        <f>IFERROR(VLOOKUP(D65,Roster!$C$8:$D$25,2,),"To be determined")</f>
        <v>Sthe Coqueto</v>
      </c>
      <c r="F65" s="35">
        <v>100</v>
      </c>
      <c r="G65" s="12" t="s">
        <v>75</v>
      </c>
    </row>
    <row r="66" spans="1:7" x14ac:dyDescent="0.2">
      <c r="A66" s="15"/>
      <c r="B66" s="29"/>
      <c r="C66" s="36">
        <v>3</v>
      </c>
      <c r="D66" s="29" t="s">
        <v>41</v>
      </c>
      <c r="E66" s="37" t="str">
        <f>IFERROR(VLOOKUP(D66,Roster!$C$8:$D$25,2,),"To be determined")</f>
        <v>Hot Slot FC</v>
      </c>
      <c r="F66" s="38">
        <v>100</v>
      </c>
      <c r="G66" s="12" t="s">
        <v>75</v>
      </c>
    </row>
    <row r="67" spans="1:7" x14ac:dyDescent="0.2">
      <c r="A67" s="15"/>
      <c r="B67" s="29"/>
      <c r="C67" s="39">
        <v>4</v>
      </c>
      <c r="D67" s="29" t="s">
        <v>55</v>
      </c>
      <c r="E67" s="40" t="str">
        <f>IFERROR(VLOOKUP(D67,Roster!$C$8:$D$25,2,),"To be determined")</f>
        <v>Rice Rice Baby</v>
      </c>
      <c r="F67" s="41">
        <v>100</v>
      </c>
      <c r="G67" s="12" t="s">
        <v>75</v>
      </c>
    </row>
    <row r="68" spans="1:7" x14ac:dyDescent="0.2">
      <c r="A68" s="15"/>
      <c r="B68" s="29"/>
      <c r="C68" s="72">
        <v>5</v>
      </c>
      <c r="D68" s="29" t="s">
        <v>47</v>
      </c>
      <c r="E68" s="73" t="str">
        <f>IFERROR(VLOOKUP(D68,Roster!$C$8:$D$25,2,),"To be determined")</f>
        <v>JustGimmeDeLigt</v>
      </c>
      <c r="F68" s="74">
        <v>100</v>
      </c>
      <c r="G68" s="12" t="s">
        <v>75</v>
      </c>
    </row>
    <row r="69" spans="1:7" x14ac:dyDescent="0.2">
      <c r="A69" s="15"/>
      <c r="B69" s="29" t="s">
        <v>93</v>
      </c>
      <c r="C69" s="30">
        <v>1</v>
      </c>
      <c r="D69" s="29" t="s">
        <v>52</v>
      </c>
      <c r="E69" s="31" t="str">
        <f>IFERROR(VLOOKUP(D69,Roster!$C$8:$D$25,2,),"To be determined")</f>
        <v>Palmergeddon</v>
      </c>
      <c r="F69" s="32">
        <v>100</v>
      </c>
      <c r="G69" s="12" t="s">
        <v>75</v>
      </c>
    </row>
    <row r="70" spans="1:7" x14ac:dyDescent="0.2">
      <c r="A70" s="15"/>
      <c r="B70" s="29"/>
      <c r="C70" s="33">
        <v>2</v>
      </c>
      <c r="D70" s="29" t="s">
        <v>32</v>
      </c>
      <c r="E70" s="34" t="str">
        <f>IFERROR(VLOOKUP(D70,Roster!$C$8:$D$25,2,),"To be determined")</f>
        <v>A Cunha Matata</v>
      </c>
      <c r="F70" s="35">
        <v>100</v>
      </c>
      <c r="G70" s="12" t="s">
        <v>75</v>
      </c>
    </row>
    <row r="71" spans="1:7" x14ac:dyDescent="0.2">
      <c r="A71" s="15"/>
      <c r="B71" s="29"/>
      <c r="C71" s="36">
        <v>3</v>
      </c>
      <c r="D71" s="29" t="s">
        <v>41</v>
      </c>
      <c r="E71" s="37" t="str">
        <f>IFERROR(VLOOKUP(D71,Roster!$C$8:$D$25,2,),"To be determined")</f>
        <v>Hot Slot FC</v>
      </c>
      <c r="F71" s="38">
        <v>100</v>
      </c>
      <c r="G71" s="12" t="s">
        <v>75</v>
      </c>
    </row>
    <row r="72" spans="1:7" x14ac:dyDescent="0.2">
      <c r="A72" s="15"/>
      <c r="B72" s="29" t="s">
        <v>94</v>
      </c>
      <c r="C72" s="30">
        <v>1</v>
      </c>
      <c r="D72" s="29" t="s">
        <v>52</v>
      </c>
      <c r="E72" s="31" t="str">
        <f>IFERROR(VLOOKUP(D72,Roster!$C$8:$D$25,2,),"To be determined")</f>
        <v>Palmergeddon</v>
      </c>
      <c r="F72" s="32">
        <v>100</v>
      </c>
      <c r="G72" s="12" t="s">
        <v>75</v>
      </c>
    </row>
    <row r="73" spans="1:7" x14ac:dyDescent="0.2">
      <c r="A73" s="15"/>
      <c r="B73" s="29"/>
      <c r="C73" s="33">
        <v>2</v>
      </c>
      <c r="D73" s="29" t="s">
        <v>41</v>
      </c>
      <c r="E73" s="34" t="str">
        <f>IFERROR(VLOOKUP(D73,Roster!$C$8:$D$25,2,),"To be determined")</f>
        <v>Hot Slot FC</v>
      </c>
      <c r="F73" s="35">
        <v>100</v>
      </c>
      <c r="G73" s="12" t="s">
        <v>75</v>
      </c>
    </row>
    <row r="74" spans="1:7" x14ac:dyDescent="0.2">
      <c r="A74" s="15"/>
      <c r="B74" s="29"/>
      <c r="C74" s="36">
        <v>3</v>
      </c>
      <c r="D74" s="29" t="s">
        <v>57</v>
      </c>
      <c r="E74" s="37" t="str">
        <f>IFERROR(VLOOKUP(D74,Roster!$C$8:$D$25,2,),"To be determined")</f>
        <v>Root_.5 FC</v>
      </c>
      <c r="F74" s="38">
        <v>100</v>
      </c>
      <c r="G74" s="12" t="s">
        <v>75</v>
      </c>
    </row>
    <row r="75" spans="1:7" x14ac:dyDescent="0.2">
      <c r="A75" s="15"/>
      <c r="B75" s="29"/>
      <c r="C75" s="39">
        <v>4</v>
      </c>
      <c r="D75" s="29" t="s">
        <v>59</v>
      </c>
      <c r="E75" s="40" t="str">
        <f>IFERROR(VLOOKUP(D75,Roster!$C$8:$D$25,2,),"To be determined")</f>
        <v>Šeśko Mode</v>
      </c>
      <c r="F75" s="41">
        <v>100</v>
      </c>
      <c r="G75" s="12" t="s">
        <v>75</v>
      </c>
    </row>
    <row r="76" spans="1:7" x14ac:dyDescent="0.2">
      <c r="A76" s="15"/>
      <c r="B76" s="29" t="s">
        <v>95</v>
      </c>
      <c r="C76" s="30">
        <v>1</v>
      </c>
      <c r="D76" s="29" t="s">
        <v>55</v>
      </c>
      <c r="E76" s="31" t="str">
        <f>IFERROR(VLOOKUP(D76,Roster!$C$8:$D$25,2,),"To be determined")</f>
        <v>Rice Rice Baby</v>
      </c>
      <c r="F76" s="32">
        <v>100</v>
      </c>
      <c r="G76" s="12" t="s">
        <v>75</v>
      </c>
    </row>
    <row r="77" spans="1:7" x14ac:dyDescent="0.2">
      <c r="A77" s="15"/>
      <c r="B77" s="29"/>
      <c r="C77" s="33">
        <v>2</v>
      </c>
      <c r="D77" s="29" t="s">
        <v>61</v>
      </c>
      <c r="E77" s="34" t="str">
        <f>IFERROR(VLOOKUP(D77,Roster!$C$8:$D$25,2,),"To be determined")</f>
        <v>Sthe Coqueto</v>
      </c>
      <c r="F77" s="35">
        <v>100</v>
      </c>
      <c r="G77" s="12" t="s">
        <v>75</v>
      </c>
    </row>
    <row r="78" spans="1:7" x14ac:dyDescent="0.2">
      <c r="A78" s="15"/>
      <c r="B78" s="29"/>
      <c r="C78" s="36">
        <v>3</v>
      </c>
      <c r="D78" s="29" t="s">
        <v>35</v>
      </c>
      <c r="E78" s="37" t="str">
        <f>IFERROR(VLOOKUP(D78,Roster!$C$8:$D$25,2,),"To be determined")</f>
        <v>Boehlys World Champs</v>
      </c>
      <c r="F78" s="38">
        <v>100</v>
      </c>
      <c r="G78" s="12" t="s">
        <v>75</v>
      </c>
    </row>
    <row r="79" spans="1:7" x14ac:dyDescent="0.2">
      <c r="A79" s="15"/>
      <c r="B79" s="29" t="s">
        <v>96</v>
      </c>
      <c r="C79" s="30">
        <v>1</v>
      </c>
      <c r="D79" s="29" t="s">
        <v>35</v>
      </c>
      <c r="E79" s="31" t="str">
        <f>IFERROR(VLOOKUP(D79,Roster!$C$8:$D$25,2,),"To be determined")</f>
        <v>Boehlys World Champs</v>
      </c>
      <c r="F79" s="32">
        <v>100</v>
      </c>
      <c r="G79" s="12" t="s">
        <v>75</v>
      </c>
    </row>
    <row r="80" spans="1:7" x14ac:dyDescent="0.2">
      <c r="A80" s="15"/>
      <c r="B80" s="29"/>
      <c r="C80" s="33">
        <v>2</v>
      </c>
      <c r="D80" s="29" t="s">
        <v>61</v>
      </c>
      <c r="E80" s="34" t="str">
        <f>IFERROR(VLOOKUP(D80,Roster!$C$8:$D$25,2,),"To be determined")</f>
        <v>Sthe Coqueto</v>
      </c>
      <c r="F80" s="35">
        <v>100</v>
      </c>
      <c r="G80" s="12" t="s">
        <v>75</v>
      </c>
    </row>
    <row r="81" spans="1:7" x14ac:dyDescent="0.2">
      <c r="A81" s="15"/>
      <c r="B81" s="29"/>
      <c r="C81" s="36">
        <v>3</v>
      </c>
      <c r="D81" s="29" t="s">
        <v>65</v>
      </c>
      <c r="E81" s="37" t="str">
        <f>IFERROR(VLOOKUP(D81,Roster!$C$8:$D$25,2,),"To be determined")</f>
        <v>TAYDO FC</v>
      </c>
      <c r="F81" s="38">
        <v>100</v>
      </c>
      <c r="G81" s="12" t="s">
        <v>75</v>
      </c>
    </row>
    <row r="82" spans="1:7" x14ac:dyDescent="0.2">
      <c r="A82" s="15"/>
      <c r="B82" s="29" t="s">
        <v>97</v>
      </c>
      <c r="C82" s="30">
        <v>1</v>
      </c>
      <c r="D82" s="29" t="s">
        <v>49</v>
      </c>
      <c r="E82" s="31" t="str">
        <f>IFERROR(VLOOKUP(D82,Roster!$C$8:$D$25,2,),"To be determined")</f>
        <v>Los Primeros</v>
      </c>
      <c r="F82" s="32">
        <v>100</v>
      </c>
      <c r="G82" s="12" t="s">
        <v>75</v>
      </c>
    </row>
    <row r="83" spans="1:7" x14ac:dyDescent="0.2">
      <c r="A83" s="15"/>
      <c r="B83" s="29"/>
      <c r="C83" s="33">
        <v>2</v>
      </c>
      <c r="D83" s="29" t="s">
        <v>43</v>
      </c>
      <c r="E83" s="34" t="str">
        <f>IFERROR(VLOOKUP(D83,Roster!$C$8:$D$25,2,),"To be determined")</f>
        <v>Iam_ntombela</v>
      </c>
      <c r="F83" s="35">
        <v>100</v>
      </c>
      <c r="G83" s="12" t="s">
        <v>75</v>
      </c>
    </row>
    <row r="84" spans="1:7" x14ac:dyDescent="0.2">
      <c r="A84" s="15"/>
      <c r="B84" s="29"/>
      <c r="C84" s="36">
        <v>3</v>
      </c>
      <c r="D84" s="29" t="s">
        <v>35</v>
      </c>
      <c r="E84" s="37" t="str">
        <f>IFERROR(VLOOKUP(D84,Roster!$C$8:$D$25,2,),"To be determined")</f>
        <v>Boehlys World Champs</v>
      </c>
      <c r="F84" s="38">
        <v>100</v>
      </c>
      <c r="G84" s="12" t="s">
        <v>75</v>
      </c>
    </row>
    <row r="85" spans="1:7" x14ac:dyDescent="0.2">
      <c r="A85" s="15"/>
      <c r="B85" s="29" t="s">
        <v>98</v>
      </c>
      <c r="C85" s="30">
        <v>1</v>
      </c>
      <c r="D85" s="29" t="s">
        <v>55</v>
      </c>
      <c r="E85" s="31" t="str">
        <f>IFERROR(VLOOKUP(D85,Roster!$C$8:$D$25,2,),"To be determined")</f>
        <v>Rice Rice Baby</v>
      </c>
      <c r="F85" s="32">
        <v>100</v>
      </c>
      <c r="G85" s="12" t="s">
        <v>75</v>
      </c>
    </row>
    <row r="86" spans="1:7" x14ac:dyDescent="0.2">
      <c r="A86" s="15"/>
      <c r="B86" s="29"/>
      <c r="C86" s="33">
        <v>2</v>
      </c>
      <c r="D86" s="29" t="s">
        <v>63</v>
      </c>
      <c r="E86" s="34" t="str">
        <f>IFERROR(VLOOKUP(D86,Roster!$C$8:$D$25,2,),"To be determined")</f>
        <v>SzoboSlay</v>
      </c>
      <c r="F86" s="35">
        <v>100</v>
      </c>
      <c r="G86" s="12" t="s">
        <v>75</v>
      </c>
    </row>
    <row r="87" spans="1:7" x14ac:dyDescent="0.2">
      <c r="A87" s="15"/>
      <c r="B87" s="29"/>
      <c r="C87" s="36">
        <v>3</v>
      </c>
      <c r="D87" s="29" t="s">
        <v>32</v>
      </c>
      <c r="E87" s="37" t="str">
        <f>IFERROR(VLOOKUP(D87,Roster!$C$8:$D$25,2,),"To be determined")</f>
        <v>A Cunha Matata</v>
      </c>
      <c r="F87" s="38">
        <v>100</v>
      </c>
      <c r="G87" s="12" t="s">
        <v>75</v>
      </c>
    </row>
    <row r="88" spans="1:7" x14ac:dyDescent="0.2">
      <c r="A88" s="15"/>
      <c r="B88" s="29"/>
      <c r="C88" s="39">
        <v>4</v>
      </c>
      <c r="D88" s="29" t="s">
        <v>45</v>
      </c>
      <c r="E88" s="40" t="str">
        <f>IFERROR(VLOOKUP(D88,Roster!$C$8:$D$25,2,),"To be determined")</f>
        <v>Joao Island</v>
      </c>
      <c r="F88" s="41">
        <v>100</v>
      </c>
      <c r="G88" s="12" t="s">
        <v>75</v>
      </c>
    </row>
    <row r="89" spans="1:7" x14ac:dyDescent="0.2">
      <c r="A89" s="15"/>
      <c r="B89" s="29" t="s">
        <v>99</v>
      </c>
      <c r="C89" s="30">
        <v>1</v>
      </c>
      <c r="D89" s="29" t="s">
        <v>47</v>
      </c>
      <c r="E89" s="31" t="str">
        <f>IFERROR(VLOOKUP(D89,Roster!$C$8:$D$25,2,),"To be determined")</f>
        <v>JustGimmeDeLigt</v>
      </c>
      <c r="F89" s="32">
        <v>100</v>
      </c>
      <c r="G89" s="12" t="s">
        <v>75</v>
      </c>
    </row>
    <row r="90" spans="1:7" x14ac:dyDescent="0.2">
      <c r="A90" s="15"/>
      <c r="B90" s="29"/>
      <c r="C90" s="33">
        <v>2</v>
      </c>
      <c r="D90" s="29" t="s">
        <v>32</v>
      </c>
      <c r="E90" s="34" t="str">
        <f>IFERROR(VLOOKUP(D90,Roster!$C$8:$D$25,2,),"To be determined")</f>
        <v>A Cunha Matata</v>
      </c>
      <c r="F90" s="35">
        <v>100</v>
      </c>
      <c r="G90" s="12" t="s">
        <v>75</v>
      </c>
    </row>
    <row r="91" spans="1:7" x14ac:dyDescent="0.2">
      <c r="A91" s="15"/>
      <c r="B91" s="29"/>
      <c r="C91" s="36">
        <v>3</v>
      </c>
      <c r="D91" s="29" t="s">
        <v>45</v>
      </c>
      <c r="E91" s="37" t="str">
        <f>IFERROR(VLOOKUP(D91,Roster!$C$8:$D$25,2,),"To be determined")</f>
        <v>Joao Island</v>
      </c>
      <c r="F91" s="38">
        <v>100</v>
      </c>
      <c r="G91" s="12" t="s">
        <v>75</v>
      </c>
    </row>
    <row r="92" spans="1:7" x14ac:dyDescent="0.2">
      <c r="A92" s="15"/>
      <c r="B92" s="29" t="s">
        <v>100</v>
      </c>
      <c r="C92" s="30">
        <v>1</v>
      </c>
      <c r="D92" s="29" t="s">
        <v>55</v>
      </c>
      <c r="E92" s="31" t="str">
        <f>IFERROR(VLOOKUP(D92,Roster!$C$8:$D$25,2,),"To be determined")</f>
        <v>Rice Rice Baby</v>
      </c>
      <c r="F92" s="32">
        <v>100</v>
      </c>
      <c r="G92" s="12" t="s">
        <v>75</v>
      </c>
    </row>
    <row r="93" spans="1:7" x14ac:dyDescent="0.2">
      <c r="A93" s="15"/>
      <c r="B93" s="29"/>
      <c r="C93" s="33">
        <v>2</v>
      </c>
      <c r="D93" s="29" t="s">
        <v>63</v>
      </c>
      <c r="E93" s="34" t="str">
        <f>IFERROR(VLOOKUP(D93,Roster!$C$8:$D$25,2,),"To be determined")</f>
        <v>SzoboSlay</v>
      </c>
      <c r="F93" s="35">
        <v>100</v>
      </c>
      <c r="G93" s="12" t="s">
        <v>75</v>
      </c>
    </row>
    <row r="94" spans="1:7" x14ac:dyDescent="0.2">
      <c r="A94" s="15"/>
      <c r="B94" s="29"/>
      <c r="C94" s="36">
        <v>3</v>
      </c>
      <c r="D94" s="29" t="s">
        <v>45</v>
      </c>
      <c r="E94" s="37" t="str">
        <f>IFERROR(VLOOKUP(D94,Roster!$C$8:$D$25,2,),"To be determined")</f>
        <v>Joao Island</v>
      </c>
      <c r="F94" s="38">
        <v>100</v>
      </c>
      <c r="G94" s="12" t="s">
        <v>75</v>
      </c>
    </row>
    <row r="95" spans="1:7" x14ac:dyDescent="0.2">
      <c r="A95" s="15"/>
      <c r="B95" s="29" t="s">
        <v>101</v>
      </c>
      <c r="C95" s="30">
        <v>1</v>
      </c>
      <c r="D95" s="29" t="s">
        <v>37</v>
      </c>
      <c r="E95" s="31" t="str">
        <f>IFERROR(VLOOKUP(D95,Roster!$C$8:$D$25,2,),"To be determined")</f>
        <v>Bruno, dos, tres</v>
      </c>
      <c r="F95" s="32">
        <v>100</v>
      </c>
      <c r="G95" s="12" t="s">
        <v>75</v>
      </c>
    </row>
    <row r="96" spans="1:7" x14ac:dyDescent="0.2">
      <c r="A96" s="15"/>
      <c r="B96" s="29"/>
      <c r="C96" s="33">
        <v>2</v>
      </c>
      <c r="D96" s="29" t="s">
        <v>35</v>
      </c>
      <c r="E96" s="34" t="str">
        <f>IFERROR(VLOOKUP(D96,Roster!$C$8:$D$25,2,),"To be determined")</f>
        <v>Boehlys World Champs</v>
      </c>
      <c r="F96" s="35">
        <v>100</v>
      </c>
      <c r="G96" s="12" t="s">
        <v>75</v>
      </c>
    </row>
    <row r="97" spans="1:7" x14ac:dyDescent="0.2">
      <c r="A97" s="15"/>
      <c r="B97" s="29"/>
      <c r="C97" s="36">
        <v>3</v>
      </c>
      <c r="D97" s="29" t="s">
        <v>43</v>
      </c>
      <c r="E97" s="37" t="str">
        <f>IFERROR(VLOOKUP(D97,Roster!$C$8:$D$25,2,),"To be determined")</f>
        <v>Iam_ntombela</v>
      </c>
      <c r="F97" s="38">
        <v>100</v>
      </c>
      <c r="G97" s="12" t="s">
        <v>75</v>
      </c>
    </row>
    <row r="98" spans="1:7" x14ac:dyDescent="0.2">
      <c r="A98" s="15"/>
      <c r="B98" s="29"/>
      <c r="C98" s="39">
        <v>4</v>
      </c>
      <c r="D98" s="29" t="s">
        <v>52</v>
      </c>
      <c r="E98" s="40" t="str">
        <f>IFERROR(VLOOKUP(D98,Roster!$C$8:$D$25,2,),"To be determined")</f>
        <v>Palmergeddon</v>
      </c>
      <c r="F98" s="41">
        <v>100</v>
      </c>
      <c r="G98" s="12" t="s">
        <v>75</v>
      </c>
    </row>
    <row r="99" spans="1:7" x14ac:dyDescent="0.2">
      <c r="A99" s="15"/>
      <c r="B99" s="29"/>
      <c r="C99" s="43">
        <v>5</v>
      </c>
      <c r="D99" s="29" t="s">
        <v>63</v>
      </c>
      <c r="E99" s="44" t="str">
        <f>IFERROR(VLOOKUP(D99,Roster!$C$8:$D$25,2,),"To be determined")</f>
        <v>SzoboSlay</v>
      </c>
      <c r="F99" s="45">
        <v>100</v>
      </c>
      <c r="G99" s="12" t="s">
        <v>75</v>
      </c>
    </row>
    <row r="100" spans="1:7" x14ac:dyDescent="0.2">
      <c r="A100" s="15"/>
      <c r="B100" s="29" t="s">
        <v>102</v>
      </c>
      <c r="C100" s="30">
        <v>1</v>
      </c>
      <c r="D100" s="29" t="s">
        <v>47</v>
      </c>
      <c r="E100" s="31" t="str">
        <f>IFERROR(VLOOKUP(D100,Roster!$C$8:$D$25,2,),"To be determined")</f>
        <v>JustGimmeDeLigt</v>
      </c>
      <c r="F100" s="32">
        <v>100</v>
      </c>
      <c r="G100" s="12" t="s">
        <v>75</v>
      </c>
    </row>
    <row r="101" spans="1:7" x14ac:dyDescent="0.2">
      <c r="A101" s="15"/>
      <c r="B101" s="29"/>
      <c r="C101" s="33">
        <v>2</v>
      </c>
      <c r="D101" s="29" t="s">
        <v>61</v>
      </c>
      <c r="E101" s="34" t="str">
        <f>IFERROR(VLOOKUP(D101,Roster!$C$8:$D$25,2,),"To be determined")</f>
        <v>Sthe Coqueto</v>
      </c>
      <c r="F101" s="35">
        <v>100</v>
      </c>
      <c r="G101" s="12" t="s">
        <v>75</v>
      </c>
    </row>
    <row r="102" spans="1:7" x14ac:dyDescent="0.2">
      <c r="A102" s="15"/>
      <c r="B102" s="29"/>
      <c r="C102" s="36">
        <v>3</v>
      </c>
      <c r="D102" s="29" t="s">
        <v>57</v>
      </c>
      <c r="E102" s="37" t="str">
        <f>IFERROR(VLOOKUP(D102,Roster!$C$8:$D$25,2,),"To be determined")</f>
        <v>Root_.5 FC</v>
      </c>
      <c r="F102" s="38">
        <v>100</v>
      </c>
      <c r="G102" s="12" t="s">
        <v>75</v>
      </c>
    </row>
    <row r="103" spans="1:7" x14ac:dyDescent="0.2">
      <c r="A103" s="15"/>
      <c r="B103" s="29"/>
      <c r="C103" s="39">
        <v>4</v>
      </c>
      <c r="D103" s="29" t="s">
        <v>39</v>
      </c>
      <c r="E103" s="40" t="str">
        <f>IFERROR(VLOOKUP(D103,Roster!$C$8:$D$25,2,),"To be determined")</f>
        <v>Hidden Hills</v>
      </c>
      <c r="F103" s="41">
        <v>100</v>
      </c>
      <c r="G103" s="12" t="s">
        <v>75</v>
      </c>
    </row>
    <row r="104" spans="1:7" x14ac:dyDescent="0.2">
      <c r="A104" s="15"/>
      <c r="B104" s="29" t="s">
        <v>103</v>
      </c>
      <c r="C104" s="30">
        <v>1</v>
      </c>
      <c r="D104" s="29" t="s">
        <v>43</v>
      </c>
      <c r="E104" s="31" t="str">
        <f>IFERROR(VLOOKUP(D104,Roster!$C$8:$D$25,2,),"To be determined")</f>
        <v>Iam_ntombela</v>
      </c>
      <c r="F104" s="32">
        <v>100</v>
      </c>
      <c r="G104" s="12" t="s">
        <v>75</v>
      </c>
    </row>
    <row r="105" spans="1:7" x14ac:dyDescent="0.2">
      <c r="A105" s="15"/>
      <c r="B105" s="29"/>
      <c r="C105" s="33">
        <v>2</v>
      </c>
      <c r="D105" s="29" t="s">
        <v>37</v>
      </c>
      <c r="E105" s="34" t="str">
        <f>IFERROR(VLOOKUP(D105,Roster!$C$8:$D$25,2,),"To be determined")</f>
        <v>Bruno, dos, tres</v>
      </c>
      <c r="F105" s="35">
        <v>100</v>
      </c>
      <c r="G105" s="12" t="s">
        <v>75</v>
      </c>
    </row>
    <row r="106" spans="1:7" x14ac:dyDescent="0.2">
      <c r="A106" s="15"/>
      <c r="B106" s="29"/>
      <c r="C106" s="36">
        <v>3</v>
      </c>
      <c r="D106" s="29" t="s">
        <v>49</v>
      </c>
      <c r="E106" s="37" t="str">
        <f>IFERROR(VLOOKUP(D106,Roster!$C$8:$D$25,2,),"To be determined")</f>
        <v>Los Primeros</v>
      </c>
      <c r="F106" s="38">
        <v>100</v>
      </c>
      <c r="G106" s="12" t="s">
        <v>75</v>
      </c>
    </row>
    <row r="107" spans="1:7" x14ac:dyDescent="0.2">
      <c r="A107" s="15"/>
      <c r="B107" s="29" t="s">
        <v>104</v>
      </c>
      <c r="C107" s="30">
        <v>1</v>
      </c>
      <c r="D107" s="29" t="s">
        <v>61</v>
      </c>
      <c r="E107" s="31" t="str">
        <f>IFERROR(VLOOKUP(D107,Roster!$C$8:$D$25,2,),"To be determined")</f>
        <v>Sthe Coqueto</v>
      </c>
      <c r="F107" s="32">
        <v>100</v>
      </c>
      <c r="G107" s="12" t="s">
        <v>75</v>
      </c>
    </row>
    <row r="108" spans="1:7" x14ac:dyDescent="0.2">
      <c r="A108" s="15"/>
      <c r="B108" s="29"/>
      <c r="C108" s="33">
        <v>2</v>
      </c>
      <c r="D108" s="29" t="s">
        <v>32</v>
      </c>
      <c r="E108" s="34" t="str">
        <f>IFERROR(VLOOKUP(D108,Roster!$C$8:$D$25,2,),"To be determined")</f>
        <v>A Cunha Matata</v>
      </c>
      <c r="F108" s="35">
        <v>100</v>
      </c>
      <c r="G108" s="12" t="s">
        <v>75</v>
      </c>
    </row>
    <row r="109" spans="1:7" x14ac:dyDescent="0.2">
      <c r="A109" s="15"/>
      <c r="B109" s="29"/>
      <c r="C109" s="36">
        <v>3</v>
      </c>
      <c r="D109" s="29" t="s">
        <v>45</v>
      </c>
      <c r="E109" s="37" t="str">
        <f>IFERROR(VLOOKUP(D109,Roster!$C$8:$D$25,2,),"To be determined")</f>
        <v>Joao Island</v>
      </c>
      <c r="F109" s="38">
        <v>100</v>
      </c>
      <c r="G109" s="12" t="s">
        <v>75</v>
      </c>
    </row>
    <row r="110" spans="1:7" x14ac:dyDescent="0.2">
      <c r="A110" s="15"/>
      <c r="B110" s="29" t="s">
        <v>105</v>
      </c>
      <c r="C110" s="30">
        <v>1</v>
      </c>
      <c r="D110" s="29" t="s">
        <v>63</v>
      </c>
      <c r="E110" s="31" t="str">
        <f>IFERROR(VLOOKUP(D110,Roster!$C$8:$D$25,2,),"To be determined")</f>
        <v>SzoboSlay</v>
      </c>
      <c r="F110" s="32">
        <v>100</v>
      </c>
      <c r="G110" s="12" t="s">
        <v>75</v>
      </c>
    </row>
    <row r="111" spans="1:7" x14ac:dyDescent="0.2">
      <c r="A111" s="15"/>
      <c r="B111" s="29"/>
      <c r="C111" s="33">
        <v>2</v>
      </c>
      <c r="D111" s="29" t="s">
        <v>41</v>
      </c>
      <c r="E111" s="34" t="str">
        <f>IFERROR(VLOOKUP(D111,Roster!$C$8:$D$25,2,),"To be determined")</f>
        <v>Hot Slot FC</v>
      </c>
      <c r="F111" s="35">
        <v>100</v>
      </c>
      <c r="G111" s="12" t="s">
        <v>75</v>
      </c>
    </row>
    <row r="112" spans="1:7" x14ac:dyDescent="0.2">
      <c r="A112" s="15"/>
      <c r="B112" s="29"/>
      <c r="C112" s="36">
        <v>3</v>
      </c>
      <c r="D112" s="29" t="s">
        <v>37</v>
      </c>
      <c r="E112" s="37" t="str">
        <f>IFERROR(VLOOKUP(D112,Roster!$C$8:$D$25,2,),"To be determined")</f>
        <v>Bruno, dos, tres</v>
      </c>
      <c r="F112" s="38">
        <v>100</v>
      </c>
      <c r="G112" s="12" t="s">
        <v>75</v>
      </c>
    </row>
    <row r="113" spans="1:7" x14ac:dyDescent="0.2">
      <c r="A113" s="15"/>
      <c r="B113" s="29" t="s">
        <v>106</v>
      </c>
      <c r="C113" s="30">
        <v>1</v>
      </c>
      <c r="D113" s="29" t="s">
        <v>47</v>
      </c>
      <c r="E113" s="31" t="str">
        <f>IFERROR(VLOOKUP(D113,Roster!$C$8:$D$25,2,),"To be determined")</f>
        <v>JustGimmeDeLigt</v>
      </c>
      <c r="F113" s="32">
        <v>100</v>
      </c>
      <c r="G113" s="12" t="s">
        <v>75</v>
      </c>
    </row>
    <row r="114" spans="1:7" x14ac:dyDescent="0.2">
      <c r="A114" s="15"/>
      <c r="B114" s="29"/>
      <c r="C114" s="33">
        <v>2</v>
      </c>
      <c r="D114" s="29" t="s">
        <v>57</v>
      </c>
      <c r="E114" s="34" t="str">
        <f>IFERROR(VLOOKUP(D114,Roster!$C$8:$D$25,2,),"To be determined")</f>
        <v>Root_.5 FC</v>
      </c>
      <c r="F114" s="35">
        <v>100</v>
      </c>
      <c r="G114" s="12" t="s">
        <v>75</v>
      </c>
    </row>
    <row r="115" spans="1:7" x14ac:dyDescent="0.2">
      <c r="A115" s="15"/>
      <c r="B115" s="29"/>
      <c r="C115" s="36">
        <v>3</v>
      </c>
      <c r="D115" s="29" t="s">
        <v>32</v>
      </c>
      <c r="E115" s="37" t="str">
        <f>IFERROR(VLOOKUP(D115,Roster!$C$8:$D$25,2,),"To be determined")</f>
        <v>A Cunha Matata</v>
      </c>
      <c r="F115" s="38">
        <v>100</v>
      </c>
      <c r="G115" s="12" t="s">
        <v>75</v>
      </c>
    </row>
    <row r="116" spans="1:7" x14ac:dyDescent="0.2">
      <c r="A116" s="15"/>
      <c r="B116" s="29" t="s">
        <v>107</v>
      </c>
      <c r="C116" s="30">
        <v>1</v>
      </c>
      <c r="D116" s="29" t="s">
        <v>37</v>
      </c>
      <c r="E116" s="31" t="str">
        <f>IFERROR(VLOOKUP(D116,Roster!$C$8:$D$25,2,),"To be determined")</f>
        <v>Bruno, dos, tres</v>
      </c>
      <c r="F116" s="32">
        <v>100</v>
      </c>
      <c r="G116" s="12" t="s">
        <v>75</v>
      </c>
    </row>
    <row r="117" spans="1:7" x14ac:dyDescent="0.2">
      <c r="A117" s="15"/>
      <c r="B117" s="29"/>
      <c r="C117" s="33">
        <v>2</v>
      </c>
      <c r="D117" s="29" t="s">
        <v>47</v>
      </c>
      <c r="E117" s="34" t="str">
        <f>IFERROR(VLOOKUP(D117,Roster!$C$8:$D$25,2,),"To be determined")</f>
        <v>JustGimmeDeLigt</v>
      </c>
      <c r="F117" s="35">
        <v>100</v>
      </c>
      <c r="G117" s="12" t="s">
        <v>75</v>
      </c>
    </row>
    <row r="118" spans="1:7" x14ac:dyDescent="0.2">
      <c r="A118" s="15"/>
      <c r="B118" s="29"/>
      <c r="C118" s="36">
        <v>3</v>
      </c>
      <c r="D118" s="29" t="s">
        <v>57</v>
      </c>
      <c r="E118" s="37" t="str">
        <f>IFERROR(VLOOKUP(D118,Roster!$C$8:$D$25,2,),"To be determined")</f>
        <v>Root_.5 FC</v>
      </c>
      <c r="F118" s="38">
        <v>100</v>
      </c>
      <c r="G118" s="12" t="s">
        <v>75</v>
      </c>
    </row>
    <row r="119" spans="1:7" x14ac:dyDescent="0.2">
      <c r="A119" s="15"/>
      <c r="B119" s="29"/>
      <c r="C119" s="39">
        <v>4</v>
      </c>
      <c r="D119" s="29" t="s">
        <v>65</v>
      </c>
      <c r="E119" s="40" t="str">
        <f>IFERROR(VLOOKUP(D119,Roster!$C$8:$D$25,2,),"To be determined")</f>
        <v>TAYDO FC</v>
      </c>
      <c r="F119" s="41">
        <v>100</v>
      </c>
      <c r="G119" s="12" t="s">
        <v>75</v>
      </c>
    </row>
    <row r="120" spans="1:7" x14ac:dyDescent="0.2">
      <c r="A120" s="15"/>
      <c r="B120" s="29" t="s">
        <v>108</v>
      </c>
      <c r="C120" s="30">
        <v>1</v>
      </c>
      <c r="D120" s="29" t="s">
        <v>61</v>
      </c>
      <c r="E120" s="31" t="str">
        <f>IFERROR(VLOOKUP(D120,Roster!$C$8:$D$25,2,),"To be determined")</f>
        <v>Sthe Coqueto</v>
      </c>
      <c r="F120" s="32">
        <v>100</v>
      </c>
      <c r="G120" s="12" t="s">
        <v>75</v>
      </c>
    </row>
    <row r="121" spans="1:7" x14ac:dyDescent="0.2">
      <c r="A121" s="15"/>
      <c r="B121" s="29"/>
      <c r="C121" s="33">
        <v>2</v>
      </c>
      <c r="D121" s="29" t="s">
        <v>41</v>
      </c>
      <c r="E121" s="34" t="str">
        <f>IFERROR(VLOOKUP(D121,Roster!$C$8:$D$25,2,),"To be determined")</f>
        <v>Hot Slot FC</v>
      </c>
      <c r="F121" s="35">
        <v>100</v>
      </c>
      <c r="G121" s="12" t="s">
        <v>75</v>
      </c>
    </row>
    <row r="122" spans="1:7" x14ac:dyDescent="0.2">
      <c r="A122" s="15"/>
      <c r="B122" s="29"/>
      <c r="C122" s="36">
        <v>3</v>
      </c>
      <c r="D122" s="29" t="s">
        <v>65</v>
      </c>
      <c r="E122" s="37" t="str">
        <f>IFERROR(VLOOKUP(D122,Roster!$C$8:$D$25,2,),"To be determined")</f>
        <v>TAYDO FC</v>
      </c>
      <c r="F122" s="38">
        <v>100</v>
      </c>
      <c r="G122" s="12" t="s">
        <v>75</v>
      </c>
    </row>
    <row r="123" spans="1:7" x14ac:dyDescent="0.2">
      <c r="A123" s="15"/>
      <c r="B123" s="29" t="s">
        <v>109</v>
      </c>
      <c r="C123" s="30">
        <v>1</v>
      </c>
      <c r="D123" s="29" t="s">
        <v>61</v>
      </c>
      <c r="E123" s="31" t="str">
        <f>IFERROR(VLOOKUP(D123,Roster!$C$8:$D$25,2,),"To be determined")</f>
        <v>Sthe Coqueto</v>
      </c>
      <c r="F123" s="32">
        <v>100</v>
      </c>
      <c r="G123" s="12" t="s">
        <v>75</v>
      </c>
    </row>
    <row r="124" spans="1:7" x14ac:dyDescent="0.2">
      <c r="A124" s="15"/>
      <c r="B124" s="29"/>
      <c r="C124" s="33">
        <v>2</v>
      </c>
      <c r="D124" s="29" t="s">
        <v>32</v>
      </c>
      <c r="E124" s="34" t="str">
        <f>IFERROR(VLOOKUP(D124,Roster!$C$8:$D$25,2,),"To be determined")</f>
        <v>A Cunha Matata</v>
      </c>
      <c r="F124" s="35">
        <v>100</v>
      </c>
      <c r="G124" s="12" t="s">
        <v>75</v>
      </c>
    </row>
    <row r="125" spans="1:7" x14ac:dyDescent="0.2">
      <c r="A125" s="15"/>
      <c r="B125" s="29"/>
      <c r="C125" s="36">
        <v>3</v>
      </c>
      <c r="D125" s="29" t="s">
        <v>41</v>
      </c>
      <c r="E125" s="37" t="str">
        <f>IFERROR(VLOOKUP(D125,Roster!$C$8:$D$25,2,),"To be determined")</f>
        <v>Hot Slot FC</v>
      </c>
      <c r="F125" s="38">
        <v>100</v>
      </c>
      <c r="G125" s="12" t="s">
        <v>75</v>
      </c>
    </row>
    <row r="126" spans="1:7" x14ac:dyDescent="0.2">
      <c r="A126" s="15"/>
      <c r="B126" s="29" t="s">
        <v>110</v>
      </c>
      <c r="C126" s="30">
        <v>1</v>
      </c>
      <c r="D126" s="29" t="s">
        <v>61</v>
      </c>
      <c r="E126" s="31" t="str">
        <f>IFERROR(VLOOKUP(D126,Roster!$C$8:$D$25,2,),"To be determined")</f>
        <v>Sthe Coqueto</v>
      </c>
      <c r="F126" s="32">
        <v>100</v>
      </c>
      <c r="G126" s="12" t="s">
        <v>75</v>
      </c>
    </row>
    <row r="127" spans="1:7" x14ac:dyDescent="0.2">
      <c r="A127" s="15"/>
      <c r="B127" s="29"/>
      <c r="C127" s="33">
        <v>2</v>
      </c>
      <c r="D127" s="29" t="s">
        <v>41</v>
      </c>
      <c r="E127" s="34" t="str">
        <f>IFERROR(VLOOKUP(D127,Roster!$C$8:$D$25,2,),"To be determined")</f>
        <v>Hot Slot FC</v>
      </c>
      <c r="F127" s="35">
        <v>100</v>
      </c>
      <c r="G127" s="12" t="s">
        <v>75</v>
      </c>
    </row>
    <row r="128" spans="1:7" x14ac:dyDescent="0.2">
      <c r="A128" s="15"/>
      <c r="B128" s="29"/>
      <c r="C128" s="36">
        <v>3</v>
      </c>
      <c r="D128" s="29" t="s">
        <v>65</v>
      </c>
      <c r="E128" s="37" t="str">
        <f>IFERROR(VLOOKUP(D128,Roster!$C$8:$D$25,2,),"To be determined")</f>
        <v>TAYDO FC</v>
      </c>
      <c r="F128" s="38">
        <v>100</v>
      </c>
      <c r="G128" s="12" t="s">
        <v>75</v>
      </c>
    </row>
    <row r="129" spans="1:7" x14ac:dyDescent="0.2">
      <c r="A129" s="15"/>
      <c r="B129" s="29"/>
      <c r="C129" s="39">
        <v>4</v>
      </c>
      <c r="D129" s="29" t="s">
        <v>57</v>
      </c>
      <c r="E129" s="40" t="str">
        <f>IFERROR(VLOOKUP(D129,Roster!$C$8:$D$25,2,),"To be determined")</f>
        <v>Root_.5 FC</v>
      </c>
      <c r="F129" s="41">
        <v>100</v>
      </c>
      <c r="G129" s="12" t="s">
        <v>75</v>
      </c>
    </row>
    <row r="130" spans="1:7" x14ac:dyDescent="0.2">
      <c r="A130" s="15"/>
      <c r="B130" s="29" t="s">
        <v>111</v>
      </c>
      <c r="C130" s="30">
        <v>1</v>
      </c>
      <c r="D130" s="29" t="s">
        <v>65</v>
      </c>
      <c r="E130" s="31" t="str">
        <f>IFERROR(VLOOKUP(D130,Roster!$C$8:$D$25,2,),"To be determined")</f>
        <v>TAYDO FC</v>
      </c>
      <c r="F130" s="32">
        <v>100</v>
      </c>
      <c r="G130" s="12" t="s">
        <v>75</v>
      </c>
    </row>
    <row r="131" spans="1:7" x14ac:dyDescent="0.2">
      <c r="A131" s="15"/>
      <c r="B131" s="29"/>
      <c r="C131" s="33">
        <v>2</v>
      </c>
      <c r="D131" s="29" t="s">
        <v>35</v>
      </c>
      <c r="E131" s="34" t="str">
        <f>IFERROR(VLOOKUP(D131,Roster!$C$8:$D$25,2,),"To be determined")</f>
        <v>Boehlys World Champs</v>
      </c>
      <c r="F131" s="35">
        <v>100</v>
      </c>
      <c r="G131" s="12" t="s">
        <v>75</v>
      </c>
    </row>
    <row r="132" spans="1:7" x14ac:dyDescent="0.2">
      <c r="A132" s="15"/>
      <c r="B132" s="29"/>
      <c r="C132" s="36">
        <v>3</v>
      </c>
      <c r="D132" s="29" t="s">
        <v>39</v>
      </c>
      <c r="E132" s="37" t="str">
        <f>IFERROR(VLOOKUP(D132,Roster!$C$8:$D$25,2,),"To be determined")</f>
        <v>Hidden Hills</v>
      </c>
      <c r="F132" s="38">
        <v>100</v>
      </c>
      <c r="G132" s="12" t="s">
        <v>75</v>
      </c>
    </row>
    <row r="133" spans="1:7" x14ac:dyDescent="0.2">
      <c r="A133" s="15"/>
      <c r="B133" s="29" t="s">
        <v>112</v>
      </c>
      <c r="C133" s="30">
        <v>1</v>
      </c>
      <c r="D133" s="29" t="s">
        <v>37</v>
      </c>
      <c r="E133" s="31" t="str">
        <f>IFERROR(VLOOKUP(D133,Roster!$C$8:$D$25,2,),"To be determined")</f>
        <v>Bruno, dos, tres</v>
      </c>
      <c r="F133" s="32">
        <v>100</v>
      </c>
      <c r="G133" s="12" t="s">
        <v>75</v>
      </c>
    </row>
    <row r="134" spans="1:7" x14ac:dyDescent="0.2">
      <c r="A134" s="15"/>
      <c r="B134" s="29"/>
      <c r="C134" s="33">
        <v>2</v>
      </c>
      <c r="D134" s="29" t="s">
        <v>41</v>
      </c>
      <c r="E134" s="34" t="str">
        <f>IFERROR(VLOOKUP(D134,Roster!$C$8:$D$25,2,),"To be determined")</f>
        <v>Hot Slot FC</v>
      </c>
      <c r="F134" s="35">
        <v>100</v>
      </c>
      <c r="G134" s="12" t="s">
        <v>75</v>
      </c>
    </row>
    <row r="135" spans="1:7" x14ac:dyDescent="0.2">
      <c r="A135" s="15"/>
      <c r="B135" s="29"/>
      <c r="C135" s="36">
        <v>3</v>
      </c>
      <c r="D135" s="29" t="s">
        <v>47</v>
      </c>
      <c r="E135" s="37" t="str">
        <f>IFERROR(VLOOKUP(D135,Roster!$C$8:$D$25,2,),"To be determined")</f>
        <v>JustGimmeDeLigt</v>
      </c>
      <c r="F135" s="38">
        <v>100</v>
      </c>
      <c r="G135" s="12" t="s">
        <v>75</v>
      </c>
    </row>
    <row r="136" spans="1:7" x14ac:dyDescent="0.2">
      <c r="A136" s="15"/>
      <c r="B136" s="29" t="s">
        <v>113</v>
      </c>
      <c r="C136" s="30">
        <v>1</v>
      </c>
      <c r="D136" s="29" t="s">
        <v>35</v>
      </c>
      <c r="E136" s="31" t="str">
        <f>IFERROR(VLOOKUP(D136,Roster!$C$8:$D$25,2,),"To be determined")</f>
        <v>Boehlys World Champs</v>
      </c>
      <c r="F136" s="32">
        <v>100</v>
      </c>
      <c r="G136" s="12" t="s">
        <v>75</v>
      </c>
    </row>
    <row r="137" spans="1:7" x14ac:dyDescent="0.2">
      <c r="A137" s="15"/>
      <c r="B137" s="29"/>
      <c r="C137" s="33">
        <v>2</v>
      </c>
      <c r="D137" s="29" t="s">
        <v>61</v>
      </c>
      <c r="E137" s="34" t="str">
        <f>IFERROR(VLOOKUP(D137,Roster!$C$8:$D$25,2,),"To be determined")</f>
        <v>Sthe Coqueto</v>
      </c>
      <c r="F137" s="35">
        <v>100</v>
      </c>
      <c r="G137" s="12" t="s">
        <v>75</v>
      </c>
    </row>
    <row r="138" spans="1:7" x14ac:dyDescent="0.2">
      <c r="A138" s="15"/>
      <c r="B138" s="29"/>
      <c r="C138" s="36">
        <v>3</v>
      </c>
      <c r="D138" s="29" t="s">
        <v>55</v>
      </c>
      <c r="E138" s="37" t="str">
        <f>IFERROR(VLOOKUP(D138,Roster!$C$8:$D$25,2,),"To be determined")</f>
        <v>Rice Rice Baby</v>
      </c>
      <c r="F138" s="38">
        <v>100</v>
      </c>
      <c r="G138" s="12" t="s">
        <v>75</v>
      </c>
    </row>
    <row r="139" spans="1:7" x14ac:dyDescent="0.2">
      <c r="A139" s="15"/>
      <c r="B139" s="29" t="s">
        <v>114</v>
      </c>
      <c r="C139" s="30">
        <v>1</v>
      </c>
      <c r="D139" s="29" t="s">
        <v>49</v>
      </c>
      <c r="E139" s="31" t="str">
        <f>IFERROR(VLOOKUP(D139,Roster!$C$8:$D$25,2,),"To be determined")</f>
        <v>Los Primeros</v>
      </c>
      <c r="F139" s="32">
        <v>100</v>
      </c>
      <c r="G139" s="12" t="s">
        <v>75</v>
      </c>
    </row>
    <row r="140" spans="1:7" x14ac:dyDescent="0.2">
      <c r="A140" s="15"/>
      <c r="B140" s="29"/>
      <c r="C140" s="33">
        <v>2</v>
      </c>
      <c r="D140" s="29" t="s">
        <v>63</v>
      </c>
      <c r="E140" s="34" t="str">
        <f>IFERROR(VLOOKUP(D140,Roster!$C$8:$D$25,2,),"To be determined")</f>
        <v>SzoboSlay</v>
      </c>
      <c r="F140" s="35">
        <v>100</v>
      </c>
      <c r="G140" s="12" t="s">
        <v>75</v>
      </c>
    </row>
    <row r="141" spans="1:7" x14ac:dyDescent="0.2">
      <c r="A141" s="15"/>
      <c r="B141" s="29"/>
      <c r="C141" s="36">
        <v>3</v>
      </c>
      <c r="D141" s="29" t="s">
        <v>61</v>
      </c>
      <c r="E141" s="37" t="str">
        <f>IFERROR(VLOOKUP(D141,Roster!$C$8:$D$25,2,),"To be determined")</f>
        <v>Sthe Coqueto</v>
      </c>
      <c r="F141" s="38">
        <v>100</v>
      </c>
      <c r="G141" s="12" t="s">
        <v>75</v>
      </c>
    </row>
    <row r="142" spans="1:7" x14ac:dyDescent="0.2">
      <c r="A142" s="15"/>
      <c r="B142" s="29" t="s">
        <v>115</v>
      </c>
      <c r="C142" s="30">
        <v>1</v>
      </c>
      <c r="D142" s="29" t="s">
        <v>65</v>
      </c>
      <c r="E142" s="31" t="str">
        <f>IFERROR(VLOOKUP(D142,Roster!$C$8:$D$25,2,),"To be determined")</f>
        <v>TAYDO FC</v>
      </c>
      <c r="F142" s="32">
        <v>0</v>
      </c>
      <c r="G142" s="12" t="s">
        <v>75</v>
      </c>
    </row>
    <row r="143" spans="1:7" x14ac:dyDescent="0.2">
      <c r="A143" s="15"/>
      <c r="B143" s="29"/>
      <c r="C143" s="33">
        <v>2</v>
      </c>
      <c r="D143" s="29" t="s">
        <v>41</v>
      </c>
      <c r="E143" s="34" t="str">
        <f>IFERROR(VLOOKUP(D143,Roster!$C$8:$D$25,2,),"To be determined")</f>
        <v>Hot Slot FC</v>
      </c>
      <c r="F143" s="35">
        <v>0</v>
      </c>
      <c r="G143" s="12" t="s">
        <v>75</v>
      </c>
    </row>
    <row r="144" spans="1:7" x14ac:dyDescent="0.2">
      <c r="A144" s="15"/>
      <c r="B144" s="29"/>
      <c r="C144" s="36">
        <v>3</v>
      </c>
      <c r="D144" s="29" t="s">
        <v>43</v>
      </c>
      <c r="E144" s="37" t="str">
        <f>IFERROR(VLOOKUP(D144,Roster!$C$8:$D$25,2,),"To be determined")</f>
        <v>Iam_ntombela</v>
      </c>
      <c r="F144" s="38">
        <v>0</v>
      </c>
      <c r="G144" s="12" t="s">
        <v>75</v>
      </c>
    </row>
    <row r="145" spans="1:7" x14ac:dyDescent="0.2">
      <c r="A145" s="15"/>
      <c r="B145" s="29"/>
      <c r="C145" s="39">
        <v>4</v>
      </c>
      <c r="D145" s="29"/>
      <c r="E145" s="40" t="str">
        <f>IFERROR(VLOOKUP(D145,Roster!$C$8:$D$25,2,),"To be determined")</f>
        <v>To be determined</v>
      </c>
      <c r="F145" s="41">
        <v>0</v>
      </c>
      <c r="G145" s="12" t="s">
        <v>75</v>
      </c>
    </row>
    <row r="146" spans="1:7" x14ac:dyDescent="0.2">
      <c r="A146" s="15"/>
      <c r="B146" s="29" t="s">
        <v>116</v>
      </c>
      <c r="C146" s="30">
        <v>1</v>
      </c>
      <c r="D146" s="29"/>
      <c r="E146" s="31" t="str">
        <f>IFERROR(VLOOKUP(D146,Roster!$C$8:$D$25,2,),"To be determined")</f>
        <v>To be determined</v>
      </c>
      <c r="F146" s="32">
        <v>0</v>
      </c>
      <c r="G146" s="12" t="s">
        <v>75</v>
      </c>
    </row>
    <row r="147" spans="1:7" x14ac:dyDescent="0.2">
      <c r="A147" s="15"/>
      <c r="B147" s="29"/>
      <c r="C147" s="33">
        <v>2</v>
      </c>
      <c r="D147" s="29"/>
      <c r="E147" s="34" t="str">
        <f>IFERROR(VLOOKUP(D147,Roster!$C$8:$D$25,2,),"To be determined")</f>
        <v>To be determined</v>
      </c>
      <c r="F147" s="35">
        <v>0</v>
      </c>
      <c r="G147" s="12" t="s">
        <v>75</v>
      </c>
    </row>
    <row r="148" spans="1:7" x14ac:dyDescent="0.2">
      <c r="A148" s="15"/>
      <c r="B148" s="29"/>
      <c r="C148" s="36">
        <v>3</v>
      </c>
      <c r="D148" s="29"/>
      <c r="E148" s="37" t="str">
        <f>IFERROR(VLOOKUP(D148,Roster!$C$8:$D$25,2,),"To be determined")</f>
        <v>To be determined</v>
      </c>
      <c r="F148" s="38">
        <v>0</v>
      </c>
      <c r="G148" s="12" t="s">
        <v>75</v>
      </c>
    </row>
    <row r="149" spans="1:7" x14ac:dyDescent="0.2">
      <c r="A149" s="15"/>
      <c r="B149" s="29" t="s">
        <v>117</v>
      </c>
      <c r="C149" s="30">
        <v>1</v>
      </c>
      <c r="D149" s="29"/>
      <c r="E149" s="31" t="str">
        <f>IFERROR(VLOOKUP(D149,Roster!$C$8:$D$25,2,),"To be determined")</f>
        <v>To be determined</v>
      </c>
      <c r="F149" s="32">
        <v>0</v>
      </c>
      <c r="G149" s="12" t="s">
        <v>75</v>
      </c>
    </row>
    <row r="150" spans="1:7" x14ac:dyDescent="0.2">
      <c r="A150" s="15"/>
      <c r="B150" s="29"/>
      <c r="C150" s="33">
        <v>2</v>
      </c>
      <c r="D150" s="29"/>
      <c r="E150" s="34" t="str">
        <f>IFERROR(VLOOKUP(D150,Roster!$C$8:$D$25,2,),"To be determined")</f>
        <v>To be determined</v>
      </c>
      <c r="F150" s="35">
        <v>0</v>
      </c>
      <c r="G150" s="12" t="s">
        <v>75</v>
      </c>
    </row>
    <row r="151" spans="1:7" x14ac:dyDescent="0.2">
      <c r="A151" s="15"/>
      <c r="B151" s="29"/>
      <c r="C151" s="36">
        <v>3</v>
      </c>
      <c r="D151" s="29"/>
      <c r="E151" s="37" t="str">
        <f>IFERROR(VLOOKUP(D151,Roster!$C$8:$D$25,2,),"To be determined")</f>
        <v>To be determined</v>
      </c>
      <c r="F151" s="38">
        <v>0</v>
      </c>
      <c r="G151" s="12" t="s">
        <v>75</v>
      </c>
    </row>
    <row r="152" spans="1:7" x14ac:dyDescent="0.2">
      <c r="A152" s="15"/>
      <c r="B152" s="29" t="s">
        <v>118</v>
      </c>
      <c r="C152" s="30">
        <v>1</v>
      </c>
      <c r="D152" s="29"/>
      <c r="E152" s="31" t="str">
        <f>IFERROR(VLOOKUP(D152,Roster!$C$8:$D$25,2,),"To be determined")</f>
        <v>To be determined</v>
      </c>
      <c r="F152" s="32">
        <v>0</v>
      </c>
      <c r="G152" s="12" t="s">
        <v>75</v>
      </c>
    </row>
    <row r="153" spans="1:7" x14ac:dyDescent="0.2">
      <c r="A153" s="15"/>
      <c r="B153" s="29"/>
      <c r="C153" s="33">
        <v>2</v>
      </c>
      <c r="D153" s="29"/>
      <c r="E153" s="34" t="str">
        <f>IFERROR(VLOOKUP(D153,Roster!$C$8:$D$25,2,),"To be determined")</f>
        <v>To be determined</v>
      </c>
      <c r="F153" s="35">
        <v>0</v>
      </c>
      <c r="G153" s="12" t="s">
        <v>75</v>
      </c>
    </row>
    <row r="154" spans="1:7" x14ac:dyDescent="0.2">
      <c r="A154" s="15"/>
      <c r="B154" s="29"/>
      <c r="C154" s="36">
        <v>3</v>
      </c>
      <c r="D154" s="29"/>
      <c r="E154" s="37" t="str">
        <f>IFERROR(VLOOKUP(D154,Roster!$C$8:$D$25,2,),"To be determined")</f>
        <v>To be determined</v>
      </c>
      <c r="F154" s="38">
        <v>0</v>
      </c>
      <c r="G154" s="12" t="s">
        <v>75</v>
      </c>
    </row>
    <row r="155" spans="1:7" x14ac:dyDescent="0.2">
      <c r="A155" s="15"/>
      <c r="B155" s="29"/>
      <c r="C155" s="39">
        <v>4</v>
      </c>
      <c r="D155" s="29"/>
      <c r="E155" s="40" t="str">
        <f>IFERROR(VLOOKUP(D155,Roster!$C$8:$D$25,2,),"To be determined")</f>
        <v>To be determined</v>
      </c>
      <c r="F155" s="41">
        <v>0</v>
      </c>
      <c r="G155" s="12" t="s">
        <v>75</v>
      </c>
    </row>
    <row r="156" spans="1:7" x14ac:dyDescent="0.2">
      <c r="A156" s="15"/>
      <c r="B156" s="29"/>
      <c r="C156" s="43">
        <v>5</v>
      </c>
      <c r="D156" s="29"/>
      <c r="E156" s="44" t="str">
        <f>IFERROR(VLOOKUP(D156,Roster!$C$8:$D$25,2,),"To be determined")</f>
        <v>To be determined</v>
      </c>
      <c r="F156" s="45">
        <v>0</v>
      </c>
      <c r="G156" s="12" t="s">
        <v>75</v>
      </c>
    </row>
    <row r="157" spans="1:7" x14ac:dyDescent="0.2">
      <c r="A157" s="15"/>
      <c r="B157" s="29" t="s">
        <v>119</v>
      </c>
      <c r="C157" s="29"/>
      <c r="D157" s="29"/>
      <c r="E157" s="46" t="str">
        <f>IFERROR(VLOOKUP(D157,Roster!$C$8:$D$25,2,),"To be determined")</f>
        <v>To be determined</v>
      </c>
      <c r="F157" s="47">
        <v>0</v>
      </c>
      <c r="G157" s="12" t="s">
        <v>75</v>
      </c>
    </row>
    <row r="159" spans="1:7" x14ac:dyDescent="0.2">
      <c r="B159" s="48"/>
      <c r="C159" s="49"/>
      <c r="D159" s="49"/>
      <c r="E159" s="49"/>
      <c r="F159" s="50"/>
    </row>
    <row r="160" spans="1:7" x14ac:dyDescent="0.2">
      <c r="F160" s="51"/>
    </row>
    <row r="163" spans="6:6" x14ac:dyDescent="0.2">
      <c r="F163" s="51"/>
    </row>
  </sheetData>
  <autoFilter ref="B8:G157" xr:uid="{00000000-0009-0000-0000-000004000000}"/>
  <conditionalFormatting sqref="G9:G157">
    <cfRule type="containsText" dxfId="5" priority="1" operator="containsText" text="Paid">
      <formula>NOT(ISERROR(SEARCH("Paid",G9)))</formula>
    </cfRule>
    <cfRule type="containsText" dxfId="4" priority="2" operator="containsText" text="Outstanding">
      <formula>NOT(ISERROR(SEARCH("Outstanding",G9)))</formula>
    </cfRule>
    <cfRule type="containsText" dxfId="3" priority="3" operator="containsText" text="Not yet">
      <formula>NOT(ISERROR(SEARCH(("Not yet"),(G9))))</formula>
    </cfRule>
    <cfRule type="containsText" dxfId="2" priority="4" operator="containsText" text="Paid">
      <formula>NOT(ISERROR(SEARCH(("Paid"),(G9))))</formula>
    </cfRule>
    <cfRule type="containsText" dxfId="1" priority="5" operator="containsText" text="To be">
      <formula>NOT(ISERROR(SEARCH(("To be"),(G9))))</formula>
    </cfRule>
  </conditionalFormatting>
  <dataValidations count="1">
    <dataValidation type="list" allowBlank="1" showErrorMessage="1" sqref="G9:G157" xr:uid="{EF3AD773-1580-4192-995B-0B7DABFA2B01}">
      <formula1>$T$9:$T$10</formula1>
    </dataValidation>
  </dataValidations>
  <pageMargins left="0.7" right="0.7" top="0.75" bottom="0.75" header="0" footer="0"/>
  <pageSetup paperSize="9" orientation="portrait"/>
  <drawing r:id="rId1"/>
  <extLst>
    <ext xmlns:x14="http://schemas.microsoft.com/office/spreadsheetml/2009/9/main" uri="{CCE6A557-97BC-4b89-ADB6-D9C93CAAB3DF}">
      <x14:dataValidations xmlns:xm="http://schemas.microsoft.com/office/excel/2006/main" count="2">
        <x14:dataValidation type="list" allowBlank="1" xr:uid="{00000000-0002-0000-0400-000000000000}">
          <x14:formula1>
            <xm:f>Roster!#REF!</xm:f>
          </x14:formula1>
          <xm:sqref>E157</xm:sqref>
        </x14:dataValidation>
        <x14:dataValidation type="list" allowBlank="1" xr:uid="{8D5A3EC5-ADAA-4219-BAEC-B0F4CA498C49}">
          <x14:formula1>
            <xm:f>Roster!$C$9:$C$25</xm:f>
          </x14:formula1>
          <xm:sqref>D9:D157</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8AA1E9-6B0A-4DEA-A84C-D2696D5AD61C}">
  <sheetPr>
    <outlinePr summaryBelow="0" summaryRight="0"/>
  </sheetPr>
  <dimension ref="A1:CL228"/>
  <sheetViews>
    <sheetView showGridLines="0" tabSelected="1" workbookViewId="0">
      <pane xSplit="4" ySplit="8" topLeftCell="E9" activePane="bottomRight" state="frozen"/>
      <selection pane="topRight" activeCell="E1" sqref="E1"/>
      <selection pane="bottomLeft" activeCell="A9" sqref="A9"/>
      <selection pane="bottomRight" activeCell="AM9" sqref="AM9"/>
    </sheetView>
  </sheetViews>
  <sheetFormatPr defaultColWidth="12.5703125" defaultRowHeight="11.25" x14ac:dyDescent="0.2"/>
  <cols>
    <col min="1" max="1" width="3.42578125" style="8" customWidth="1"/>
    <col min="2" max="2" width="4" style="8" customWidth="1"/>
    <col min="3" max="3" width="21.42578125" style="8" customWidth="1"/>
    <col min="4" max="4" width="17.28515625" style="8" bestFit="1" customWidth="1"/>
    <col min="5" max="42" width="6" style="8" customWidth="1"/>
    <col min="43" max="43" width="5.7109375" style="8" customWidth="1"/>
    <col min="44" max="44" width="1.42578125" style="8" customWidth="1"/>
    <col min="45" max="45" width="12.5703125" style="8"/>
    <col min="46" max="46" width="17.28515625" style="8" bestFit="1" customWidth="1"/>
    <col min="47" max="55" width="4.42578125" style="8" bestFit="1" customWidth="1"/>
    <col min="56" max="84" width="5.28515625" style="8" bestFit="1" customWidth="1"/>
    <col min="85" max="85" width="3.28515625" style="8" customWidth="1"/>
    <col min="86" max="86" width="17.42578125" style="8" bestFit="1" customWidth="1"/>
    <col min="87" max="87" width="17.28515625" style="8" bestFit="1" customWidth="1"/>
    <col min="88" max="16384" width="12.5703125" style="8"/>
  </cols>
  <sheetData>
    <row r="1" spans="1:90" x14ac:dyDescent="0.2">
      <c r="A1" s="7"/>
      <c r="B1" s="7"/>
      <c r="C1" s="7"/>
      <c r="D1" s="7"/>
      <c r="E1" s="7"/>
      <c r="F1" s="7"/>
      <c r="G1" s="7"/>
      <c r="H1" s="7"/>
      <c r="I1" s="7"/>
      <c r="J1" s="7"/>
      <c r="K1" s="7"/>
      <c r="L1" s="7"/>
      <c r="M1" s="7"/>
      <c r="N1" s="7"/>
      <c r="O1" s="7"/>
      <c r="P1" s="7"/>
      <c r="Q1" s="7"/>
      <c r="R1" s="7"/>
      <c r="S1" s="7"/>
      <c r="T1" s="7"/>
      <c r="U1" s="7"/>
      <c r="V1" s="7"/>
      <c r="AU1" s="7"/>
    </row>
    <row r="2" spans="1:90" x14ac:dyDescent="0.2">
      <c r="A2" s="7"/>
      <c r="B2" s="7"/>
      <c r="C2" s="7"/>
      <c r="D2" s="7"/>
      <c r="E2" s="7"/>
      <c r="F2" s="7"/>
      <c r="G2" s="7"/>
      <c r="H2" s="7"/>
      <c r="I2" s="7"/>
      <c r="J2" s="7"/>
      <c r="K2" s="7"/>
      <c r="L2" s="7"/>
      <c r="M2" s="7"/>
      <c r="N2" s="7"/>
      <c r="O2" s="7"/>
      <c r="P2" s="7"/>
      <c r="Q2" s="7"/>
      <c r="R2" s="7"/>
      <c r="S2" s="7"/>
      <c r="T2" s="7"/>
      <c r="U2" s="7"/>
      <c r="V2" s="7"/>
      <c r="AU2" s="7"/>
    </row>
    <row r="3" spans="1:90" x14ac:dyDescent="0.2">
      <c r="A3" s="7"/>
      <c r="B3" s="7"/>
      <c r="C3" s="7"/>
      <c r="D3" s="7"/>
      <c r="E3" s="7"/>
      <c r="F3" s="7"/>
      <c r="G3" s="7"/>
      <c r="H3" s="7"/>
      <c r="I3" s="7"/>
      <c r="J3" s="7"/>
      <c r="K3" s="7"/>
      <c r="L3" s="7"/>
      <c r="M3" s="7"/>
      <c r="N3" s="7"/>
      <c r="O3" s="7"/>
      <c r="P3" s="7"/>
      <c r="Q3" s="7"/>
      <c r="R3" s="7"/>
      <c r="S3" s="7"/>
      <c r="T3" s="7"/>
      <c r="U3" s="7"/>
      <c r="V3" s="7"/>
      <c r="AU3" s="7"/>
    </row>
    <row r="4" spans="1:90" x14ac:dyDescent="0.2">
      <c r="A4" s="7"/>
      <c r="B4" s="7"/>
      <c r="C4" s="7"/>
      <c r="D4" s="7"/>
      <c r="E4" s="7"/>
      <c r="F4" s="7"/>
      <c r="G4" s="7"/>
      <c r="H4" s="7"/>
      <c r="I4" s="7"/>
      <c r="J4" s="7"/>
      <c r="K4" s="7"/>
      <c r="L4" s="7"/>
      <c r="M4" s="7"/>
      <c r="N4" s="7"/>
      <c r="O4" s="7"/>
      <c r="P4" s="7"/>
      <c r="Q4" s="7"/>
      <c r="R4" s="7"/>
      <c r="S4" s="7"/>
      <c r="T4" s="7"/>
      <c r="U4" s="7"/>
      <c r="V4" s="7"/>
      <c r="AU4" s="7"/>
    </row>
    <row r="5" spans="1:90" x14ac:dyDescent="0.2">
      <c r="A5" s="7"/>
      <c r="B5" s="7"/>
      <c r="C5" s="7"/>
      <c r="D5" s="7"/>
      <c r="E5" s="7"/>
      <c r="F5" s="7"/>
      <c r="G5" s="7"/>
      <c r="H5" s="7"/>
      <c r="I5" s="7"/>
      <c r="J5" s="7"/>
      <c r="K5" s="7"/>
      <c r="L5" s="7"/>
      <c r="M5" s="7"/>
      <c r="N5" s="7"/>
      <c r="O5" s="7"/>
      <c r="P5" s="7"/>
      <c r="Q5" s="7"/>
      <c r="R5" s="7"/>
      <c r="S5" s="7"/>
      <c r="T5" s="7"/>
      <c r="U5" s="7"/>
      <c r="V5" s="7"/>
      <c r="AU5" s="7"/>
    </row>
    <row r="6" spans="1:90" x14ac:dyDescent="0.2">
      <c r="A6" s="7"/>
      <c r="B6" s="7"/>
      <c r="C6" s="7"/>
      <c r="D6" s="7"/>
      <c r="E6" s="7"/>
      <c r="F6" s="7"/>
      <c r="G6" s="7"/>
      <c r="H6" s="7"/>
      <c r="I6" s="7"/>
      <c r="J6" s="7"/>
      <c r="K6" s="7"/>
      <c r="L6" s="7"/>
      <c r="M6" s="7"/>
      <c r="N6" s="7"/>
      <c r="O6" s="7"/>
      <c r="P6" s="7"/>
      <c r="Q6" s="7"/>
      <c r="R6" s="7"/>
      <c r="S6" s="7"/>
      <c r="T6" s="7"/>
      <c r="U6" s="7"/>
      <c r="V6" s="7"/>
      <c r="AU6" s="7"/>
    </row>
    <row r="7" spans="1:90" x14ac:dyDescent="0.2">
      <c r="A7" s="7"/>
      <c r="B7" s="7"/>
      <c r="C7" s="7"/>
      <c r="D7" s="7"/>
      <c r="E7" s="7"/>
      <c r="F7" s="7"/>
      <c r="G7" s="7"/>
      <c r="H7" s="7"/>
      <c r="I7" s="7"/>
      <c r="J7" s="7"/>
      <c r="K7" s="7"/>
      <c r="L7" s="7"/>
      <c r="M7" s="7"/>
      <c r="N7" s="7"/>
      <c r="O7" s="7"/>
      <c r="P7" s="7"/>
      <c r="Q7" s="7"/>
      <c r="R7" s="7"/>
      <c r="S7" s="7"/>
      <c r="T7" s="7"/>
      <c r="U7" s="7"/>
      <c r="V7" s="7"/>
      <c r="AU7" s="7"/>
      <c r="CJ7" s="8">
        <v>3</v>
      </c>
      <c r="CK7" s="8">
        <f>CJ7</f>
        <v>3</v>
      </c>
      <c r="CL7" s="8">
        <v>41</v>
      </c>
    </row>
    <row r="8" spans="1:90" s="57" customFormat="1" ht="12.75" x14ac:dyDescent="0.2">
      <c r="A8" s="55"/>
      <c r="B8" s="56" t="s">
        <v>24</v>
      </c>
      <c r="C8" s="56" t="s">
        <v>25</v>
      </c>
      <c r="D8" s="56" t="s">
        <v>26</v>
      </c>
      <c r="E8" s="60" t="s">
        <v>120</v>
      </c>
      <c r="F8" s="60" t="s">
        <v>121</v>
      </c>
      <c r="G8" s="60" t="s">
        <v>122</v>
      </c>
      <c r="H8" s="60" t="s">
        <v>123</v>
      </c>
      <c r="I8" s="60" t="s">
        <v>124</v>
      </c>
      <c r="J8" s="60" t="s">
        <v>125</v>
      </c>
      <c r="K8" s="60" t="s">
        <v>126</v>
      </c>
      <c r="L8" s="60" t="s">
        <v>127</v>
      </c>
      <c r="M8" s="60" t="s">
        <v>128</v>
      </c>
      <c r="N8" s="60" t="s">
        <v>129</v>
      </c>
      <c r="O8" s="60" t="s">
        <v>130</v>
      </c>
      <c r="P8" s="60" t="s">
        <v>131</v>
      </c>
      <c r="Q8" s="60" t="s">
        <v>132</v>
      </c>
      <c r="R8" s="60" t="s">
        <v>133</v>
      </c>
      <c r="S8" s="60" t="s">
        <v>134</v>
      </c>
      <c r="T8" s="60" t="s">
        <v>135</v>
      </c>
      <c r="U8" s="60" t="s">
        <v>136</v>
      </c>
      <c r="V8" s="60" t="s">
        <v>137</v>
      </c>
      <c r="W8" s="60" t="s">
        <v>138</v>
      </c>
      <c r="X8" s="60" t="s">
        <v>139</v>
      </c>
      <c r="Y8" s="60" t="s">
        <v>140</v>
      </c>
      <c r="Z8" s="60" t="s">
        <v>141</v>
      </c>
      <c r="AA8" s="60" t="s">
        <v>142</v>
      </c>
      <c r="AB8" s="60" t="s">
        <v>143</v>
      </c>
      <c r="AC8" s="60" t="s">
        <v>144</v>
      </c>
      <c r="AD8" s="60" t="s">
        <v>145</v>
      </c>
      <c r="AE8" s="60" t="s">
        <v>146</v>
      </c>
      <c r="AF8" s="60" t="s">
        <v>147</v>
      </c>
      <c r="AG8" s="60" t="s">
        <v>148</v>
      </c>
      <c r="AH8" s="60" t="s">
        <v>149</v>
      </c>
      <c r="AI8" s="60" t="s">
        <v>150</v>
      </c>
      <c r="AJ8" s="60" t="s">
        <v>151</v>
      </c>
      <c r="AK8" s="60" t="s">
        <v>152</v>
      </c>
      <c r="AL8" s="60" t="s">
        <v>153</v>
      </c>
      <c r="AM8" s="60" t="s">
        <v>154</v>
      </c>
      <c r="AN8" s="60" t="s">
        <v>155</v>
      </c>
      <c r="AO8" s="60" t="s">
        <v>156</v>
      </c>
      <c r="AP8" s="60" t="s">
        <v>157</v>
      </c>
      <c r="AQ8" s="57" t="s">
        <v>29</v>
      </c>
      <c r="AS8" s="56" t="s">
        <v>25</v>
      </c>
      <c r="AT8" s="56" t="s">
        <v>26</v>
      </c>
      <c r="AU8" s="60" t="s">
        <v>120</v>
      </c>
      <c r="AV8" s="60" t="s">
        <v>121</v>
      </c>
      <c r="AW8" s="60" t="s">
        <v>122</v>
      </c>
      <c r="AX8" s="60" t="s">
        <v>123</v>
      </c>
      <c r="AY8" s="60" t="s">
        <v>124</v>
      </c>
      <c r="AZ8" s="60" t="s">
        <v>125</v>
      </c>
      <c r="BA8" s="60" t="s">
        <v>126</v>
      </c>
      <c r="BB8" s="60" t="s">
        <v>127</v>
      </c>
      <c r="BC8" s="60" t="s">
        <v>128</v>
      </c>
      <c r="BD8" s="60" t="s">
        <v>129</v>
      </c>
      <c r="BE8" s="60" t="s">
        <v>130</v>
      </c>
      <c r="BF8" s="60" t="s">
        <v>131</v>
      </c>
      <c r="BG8" s="60" t="s">
        <v>132</v>
      </c>
      <c r="BH8" s="60" t="s">
        <v>133</v>
      </c>
      <c r="BI8" s="60" t="s">
        <v>134</v>
      </c>
      <c r="BJ8" s="60" t="s">
        <v>135</v>
      </c>
      <c r="BK8" s="60" t="s">
        <v>136</v>
      </c>
      <c r="BL8" s="60" t="s">
        <v>137</v>
      </c>
      <c r="BM8" s="60" t="s">
        <v>138</v>
      </c>
      <c r="BN8" s="60" t="s">
        <v>139</v>
      </c>
      <c r="BO8" s="60" t="s">
        <v>140</v>
      </c>
      <c r="BP8" s="60" t="s">
        <v>141</v>
      </c>
      <c r="BQ8" s="60" t="s">
        <v>142</v>
      </c>
      <c r="BR8" s="60" t="s">
        <v>143</v>
      </c>
      <c r="BS8" s="60" t="s">
        <v>144</v>
      </c>
      <c r="BT8" s="60" t="s">
        <v>145</v>
      </c>
      <c r="BU8" s="60" t="s">
        <v>146</v>
      </c>
      <c r="BV8" s="60" t="s">
        <v>147</v>
      </c>
      <c r="BW8" s="60" t="s">
        <v>148</v>
      </c>
      <c r="BX8" s="60" t="s">
        <v>149</v>
      </c>
      <c r="BY8" s="60" t="s">
        <v>150</v>
      </c>
      <c r="BZ8" s="60" t="s">
        <v>151</v>
      </c>
      <c r="CA8" s="60" t="s">
        <v>152</v>
      </c>
      <c r="CB8" s="60" t="s">
        <v>153</v>
      </c>
      <c r="CC8" s="60" t="s">
        <v>154</v>
      </c>
      <c r="CD8" s="60" t="s">
        <v>155</v>
      </c>
      <c r="CE8" s="60" t="s">
        <v>156</v>
      </c>
      <c r="CF8" s="60" t="s">
        <v>157</v>
      </c>
      <c r="CH8" s="56" t="s">
        <v>25</v>
      </c>
      <c r="CI8" s="56" t="s">
        <v>26</v>
      </c>
      <c r="CJ8" s="69" t="s">
        <v>158</v>
      </c>
      <c r="CK8" s="69" t="s">
        <v>159</v>
      </c>
      <c r="CL8" s="69" t="s">
        <v>160</v>
      </c>
    </row>
    <row r="9" spans="1:90" x14ac:dyDescent="0.2">
      <c r="A9" s="83" t="s">
        <v>161</v>
      </c>
      <c r="B9" s="12">
        <v>1</v>
      </c>
      <c r="C9" s="21" t="s">
        <v>32</v>
      </c>
      <c r="D9" s="54" t="s">
        <v>33</v>
      </c>
      <c r="E9" s="64">
        <v>47</v>
      </c>
      <c r="F9" s="64">
        <v>47</v>
      </c>
      <c r="G9" s="64">
        <v>50</v>
      </c>
      <c r="H9" s="64">
        <v>59</v>
      </c>
      <c r="I9" s="64">
        <v>57</v>
      </c>
      <c r="J9" s="64">
        <v>26</v>
      </c>
      <c r="K9" s="64">
        <v>87</v>
      </c>
      <c r="L9" s="64">
        <v>72</v>
      </c>
      <c r="M9" s="64">
        <v>38</v>
      </c>
      <c r="N9" s="64">
        <v>54</v>
      </c>
      <c r="O9" s="64">
        <v>50</v>
      </c>
      <c r="P9" s="64">
        <v>35</v>
      </c>
      <c r="Q9" s="64">
        <v>26</v>
      </c>
      <c r="R9" s="64">
        <v>63</v>
      </c>
      <c r="S9" s="64">
        <v>56</v>
      </c>
      <c r="T9" s="64">
        <v>78</v>
      </c>
      <c r="U9" s="64">
        <v>69</v>
      </c>
      <c r="V9" s="64">
        <v>33</v>
      </c>
      <c r="W9" s="64">
        <v>27</v>
      </c>
      <c r="X9" s="64">
        <v>57</v>
      </c>
      <c r="Y9" s="64">
        <v>66</v>
      </c>
      <c r="Z9" s="64">
        <v>33</v>
      </c>
      <c r="AA9" s="64">
        <v>54</v>
      </c>
      <c r="AB9" s="64">
        <v>40</v>
      </c>
      <c r="AC9" s="64">
        <v>75</v>
      </c>
      <c r="AD9" s="64">
        <v>47</v>
      </c>
      <c r="AE9" s="64">
        <v>52</v>
      </c>
      <c r="AF9" s="64">
        <v>75</v>
      </c>
      <c r="AG9" s="64">
        <v>50</v>
      </c>
      <c r="AH9" s="64">
        <v>51</v>
      </c>
      <c r="AI9" s="64">
        <v>62</v>
      </c>
      <c r="AJ9" s="64">
        <v>45</v>
      </c>
      <c r="AK9" s="64">
        <v>78</v>
      </c>
      <c r="AL9" s="64">
        <v>51</v>
      </c>
      <c r="AM9" s="64">
        <v>0</v>
      </c>
      <c r="AN9" s="64">
        <v>0</v>
      </c>
      <c r="AO9" s="64">
        <v>0</v>
      </c>
      <c r="AP9" s="64">
        <v>0</v>
      </c>
      <c r="AQ9" s="68">
        <f>SUM(E9:AP9)</f>
        <v>1810</v>
      </c>
      <c r="AR9" s="61"/>
      <c r="AS9" s="21" t="s">
        <v>32</v>
      </c>
      <c r="AT9" s="54" t="s">
        <v>33</v>
      </c>
      <c r="AU9" s="7">
        <f>RANK(E9,E$9:E$25,)</f>
        <v>14</v>
      </c>
      <c r="AV9" s="7">
        <f t="shared" ref="AV9:CF15" si="0">RANK(F9,F$9:F$25,)</f>
        <v>11</v>
      </c>
      <c r="AW9" s="7">
        <f t="shared" si="0"/>
        <v>6</v>
      </c>
      <c r="AX9" s="7">
        <f t="shared" si="0"/>
        <v>14</v>
      </c>
      <c r="AY9" s="7">
        <f t="shared" si="0"/>
        <v>3</v>
      </c>
      <c r="AZ9" s="7">
        <f t="shared" si="0"/>
        <v>16</v>
      </c>
      <c r="BA9" s="7">
        <f t="shared" si="0"/>
        <v>1</v>
      </c>
      <c r="BB9" s="7">
        <f t="shared" si="0"/>
        <v>2</v>
      </c>
      <c r="BC9" s="7">
        <f t="shared" si="0"/>
        <v>14</v>
      </c>
      <c r="BD9" s="7">
        <f t="shared" si="0"/>
        <v>15</v>
      </c>
      <c r="BE9" s="7">
        <f t="shared" si="0"/>
        <v>2</v>
      </c>
      <c r="BF9" s="7">
        <f t="shared" si="0"/>
        <v>8</v>
      </c>
      <c r="BG9" s="7">
        <f t="shared" si="0"/>
        <v>16</v>
      </c>
      <c r="BH9" s="7">
        <f t="shared" si="0"/>
        <v>10</v>
      </c>
      <c r="BI9" s="7">
        <f t="shared" si="0"/>
        <v>8</v>
      </c>
      <c r="BJ9" s="7">
        <f t="shared" si="0"/>
        <v>4</v>
      </c>
      <c r="BK9" s="7">
        <f t="shared" si="0"/>
        <v>14</v>
      </c>
      <c r="BL9" s="7">
        <f t="shared" si="0"/>
        <v>15</v>
      </c>
      <c r="BM9" s="7">
        <f t="shared" si="0"/>
        <v>16</v>
      </c>
      <c r="BN9" s="7">
        <f t="shared" si="0"/>
        <v>3</v>
      </c>
      <c r="BO9" s="7">
        <f t="shared" si="0"/>
        <v>3</v>
      </c>
      <c r="BP9" s="7">
        <f t="shared" si="0"/>
        <v>12</v>
      </c>
      <c r="BQ9" s="7">
        <f t="shared" si="0"/>
        <v>4</v>
      </c>
      <c r="BR9" s="7">
        <f t="shared" si="0"/>
        <v>16</v>
      </c>
      <c r="BS9" s="7">
        <f t="shared" si="0"/>
        <v>6</v>
      </c>
      <c r="BT9" s="7">
        <f t="shared" si="0"/>
        <v>15</v>
      </c>
      <c r="BU9" s="7">
        <f t="shared" si="0"/>
        <v>2</v>
      </c>
      <c r="BV9" s="7">
        <f t="shared" si="0"/>
        <v>7</v>
      </c>
      <c r="BW9" s="7">
        <f t="shared" si="0"/>
        <v>16</v>
      </c>
      <c r="BX9" s="7">
        <f t="shared" si="0"/>
        <v>7</v>
      </c>
      <c r="BY9" s="7">
        <f t="shared" si="0"/>
        <v>3</v>
      </c>
      <c r="BZ9" s="7">
        <f t="shared" si="0"/>
        <v>14</v>
      </c>
      <c r="CA9" s="7">
        <f t="shared" si="0"/>
        <v>13</v>
      </c>
      <c r="CB9" s="7">
        <f t="shared" si="0"/>
        <v>11</v>
      </c>
      <c r="CC9" s="7">
        <f t="shared" si="0"/>
        <v>1</v>
      </c>
      <c r="CD9" s="7">
        <f t="shared" si="0"/>
        <v>1</v>
      </c>
      <c r="CE9" s="7">
        <f t="shared" si="0"/>
        <v>1</v>
      </c>
      <c r="CF9" s="7">
        <f t="shared" si="0"/>
        <v>1</v>
      </c>
      <c r="CH9" s="21" t="s">
        <v>32</v>
      </c>
      <c r="CI9" s="54" t="s">
        <v>33</v>
      </c>
      <c r="CJ9" s="8">
        <f>VLOOKUP(CH9,$C$8:$AQ$25,$CJ$7,)</f>
        <v>47</v>
      </c>
      <c r="CK9" s="8">
        <f>VLOOKUP(CH9,$AS$8:$CF$25,$CK$7,)</f>
        <v>14</v>
      </c>
      <c r="CL9" s="8">
        <f>VLOOKUP(CH9,$C$8:$AQ$25,$CL$7,)</f>
        <v>1810</v>
      </c>
    </row>
    <row r="10" spans="1:90" x14ac:dyDescent="0.2">
      <c r="A10" s="83" t="s">
        <v>162</v>
      </c>
      <c r="B10" s="12">
        <v>2</v>
      </c>
      <c r="C10" s="21" t="s">
        <v>35</v>
      </c>
      <c r="D10" s="54" t="s">
        <v>36</v>
      </c>
      <c r="E10" s="64">
        <v>64</v>
      </c>
      <c r="F10" s="64">
        <v>54</v>
      </c>
      <c r="G10" s="64">
        <v>52</v>
      </c>
      <c r="H10" s="64">
        <v>78</v>
      </c>
      <c r="I10" s="64">
        <v>30</v>
      </c>
      <c r="J10" s="64">
        <v>44</v>
      </c>
      <c r="K10" s="64">
        <v>53</v>
      </c>
      <c r="L10" s="64">
        <v>60</v>
      </c>
      <c r="M10" s="64">
        <v>43</v>
      </c>
      <c r="N10" s="64">
        <v>57</v>
      </c>
      <c r="O10" s="64">
        <v>28</v>
      </c>
      <c r="P10" s="64">
        <v>48</v>
      </c>
      <c r="Q10" s="64">
        <v>29</v>
      </c>
      <c r="R10" s="64">
        <v>68</v>
      </c>
      <c r="S10" s="64">
        <v>42</v>
      </c>
      <c r="T10" s="64">
        <v>54</v>
      </c>
      <c r="U10" s="64">
        <v>67</v>
      </c>
      <c r="V10" s="64">
        <v>52</v>
      </c>
      <c r="W10" s="64">
        <v>38</v>
      </c>
      <c r="X10" s="64">
        <v>54</v>
      </c>
      <c r="Y10" s="64">
        <v>51</v>
      </c>
      <c r="Z10" s="64">
        <v>32</v>
      </c>
      <c r="AA10" s="64">
        <v>56</v>
      </c>
      <c r="AB10" s="64">
        <v>52</v>
      </c>
      <c r="AC10" s="64">
        <v>68</v>
      </c>
      <c r="AD10" s="64">
        <v>50</v>
      </c>
      <c r="AE10" s="64">
        <v>41</v>
      </c>
      <c r="AF10" s="64">
        <v>76</v>
      </c>
      <c r="AG10" s="64">
        <v>79</v>
      </c>
      <c r="AH10" s="64">
        <v>48</v>
      </c>
      <c r="AI10" s="64">
        <v>44</v>
      </c>
      <c r="AJ10" s="64">
        <v>59</v>
      </c>
      <c r="AK10" s="64">
        <v>52</v>
      </c>
      <c r="AL10" s="64">
        <v>74</v>
      </c>
      <c r="AM10" s="64">
        <v>0</v>
      </c>
      <c r="AN10" s="64">
        <v>0</v>
      </c>
      <c r="AO10" s="64">
        <v>0</v>
      </c>
      <c r="AP10" s="64">
        <v>0</v>
      </c>
      <c r="AQ10" s="68">
        <f t="shared" ref="AQ10:AQ27" si="1">SUM(E10:AP10)</f>
        <v>1797</v>
      </c>
      <c r="AR10" s="61"/>
      <c r="AS10" s="21" t="s">
        <v>35</v>
      </c>
      <c r="AT10" s="54" t="s">
        <v>36</v>
      </c>
      <c r="AU10" s="7">
        <f t="shared" ref="AU10:AU25" si="2">RANK(E10,E$9:E$25,)</f>
        <v>3</v>
      </c>
      <c r="AV10" s="7">
        <f t="shared" si="0"/>
        <v>3</v>
      </c>
      <c r="AW10" s="7">
        <f t="shared" si="0"/>
        <v>5</v>
      </c>
      <c r="AX10" s="7">
        <f t="shared" si="0"/>
        <v>3</v>
      </c>
      <c r="AY10" s="7">
        <f t="shared" si="0"/>
        <v>17</v>
      </c>
      <c r="AZ10" s="7">
        <f t="shared" si="0"/>
        <v>13</v>
      </c>
      <c r="BA10" s="7">
        <f t="shared" si="0"/>
        <v>16</v>
      </c>
      <c r="BB10" s="7">
        <f t="shared" si="0"/>
        <v>6</v>
      </c>
      <c r="BC10" s="7">
        <f t="shared" si="0"/>
        <v>9</v>
      </c>
      <c r="BD10" s="7">
        <f t="shared" si="0"/>
        <v>14</v>
      </c>
      <c r="BE10" s="7">
        <f t="shared" si="0"/>
        <v>15</v>
      </c>
      <c r="BF10" s="7">
        <f t="shared" si="0"/>
        <v>2</v>
      </c>
      <c r="BG10" s="7">
        <f t="shared" si="0"/>
        <v>13</v>
      </c>
      <c r="BH10" s="7">
        <f t="shared" si="0"/>
        <v>9</v>
      </c>
      <c r="BI10" s="7">
        <f t="shared" si="0"/>
        <v>15</v>
      </c>
      <c r="BJ10" s="7">
        <f t="shared" si="0"/>
        <v>17</v>
      </c>
      <c r="BK10" s="7">
        <f t="shared" si="0"/>
        <v>15</v>
      </c>
      <c r="BL10" s="7">
        <f t="shared" si="0"/>
        <v>3</v>
      </c>
      <c r="BM10" s="7">
        <f t="shared" si="0"/>
        <v>8</v>
      </c>
      <c r="BN10" s="7">
        <f t="shared" si="0"/>
        <v>5</v>
      </c>
      <c r="BO10" s="7">
        <f t="shared" si="0"/>
        <v>14</v>
      </c>
      <c r="BP10" s="7">
        <f t="shared" si="0"/>
        <v>13</v>
      </c>
      <c r="BQ10" s="7">
        <f t="shared" si="0"/>
        <v>2</v>
      </c>
      <c r="BR10" s="7">
        <f t="shared" si="0"/>
        <v>10</v>
      </c>
      <c r="BS10" s="7">
        <f t="shared" si="0"/>
        <v>11</v>
      </c>
      <c r="BT10" s="7">
        <f t="shared" si="0"/>
        <v>14</v>
      </c>
      <c r="BU10" s="7">
        <f t="shared" si="0"/>
        <v>11</v>
      </c>
      <c r="BV10" s="7">
        <f t="shared" si="0"/>
        <v>6</v>
      </c>
      <c r="BW10" s="7">
        <f t="shared" si="0"/>
        <v>2</v>
      </c>
      <c r="BX10" s="7">
        <f t="shared" si="0"/>
        <v>11</v>
      </c>
      <c r="BY10" s="7">
        <f t="shared" si="0"/>
        <v>16</v>
      </c>
      <c r="BZ10" s="7">
        <f t="shared" si="0"/>
        <v>8</v>
      </c>
      <c r="CA10" s="7">
        <f t="shared" si="0"/>
        <v>17</v>
      </c>
      <c r="CB10" s="7">
        <f t="shared" si="0"/>
        <v>1</v>
      </c>
      <c r="CC10" s="7">
        <f t="shared" si="0"/>
        <v>1</v>
      </c>
      <c r="CD10" s="7">
        <f t="shared" si="0"/>
        <v>1</v>
      </c>
      <c r="CE10" s="7">
        <f t="shared" si="0"/>
        <v>1</v>
      </c>
      <c r="CF10" s="7">
        <f t="shared" si="0"/>
        <v>1</v>
      </c>
      <c r="CH10" s="21" t="s">
        <v>35</v>
      </c>
      <c r="CI10" s="54" t="s">
        <v>36</v>
      </c>
      <c r="CJ10" s="8">
        <f t="shared" ref="CJ10:CJ25" si="3">VLOOKUP(CH10,$C$8:$AQ$25,$CJ$7,)</f>
        <v>64</v>
      </c>
      <c r="CK10" s="8">
        <f t="shared" ref="CK10:CK25" si="4">VLOOKUP(CH10,$AS$8:$CF$25,$CK$7,)</f>
        <v>3</v>
      </c>
      <c r="CL10" s="8">
        <f>VLOOKUP(CH10,$C$8:$AQ$25,$CL$7,)</f>
        <v>1797</v>
      </c>
    </row>
    <row r="11" spans="1:90" x14ac:dyDescent="0.2">
      <c r="A11" s="83" t="s">
        <v>163</v>
      </c>
      <c r="B11" s="12">
        <v>3</v>
      </c>
      <c r="C11" s="21" t="s">
        <v>37</v>
      </c>
      <c r="D11" s="54" t="s">
        <v>38</v>
      </c>
      <c r="E11" s="64">
        <v>43</v>
      </c>
      <c r="F11" s="64">
        <v>39</v>
      </c>
      <c r="G11" s="64">
        <v>70</v>
      </c>
      <c r="H11" s="64">
        <v>71</v>
      </c>
      <c r="I11" s="64">
        <v>54</v>
      </c>
      <c r="J11" s="64">
        <v>45</v>
      </c>
      <c r="K11" s="64">
        <v>55</v>
      </c>
      <c r="L11" s="64">
        <v>60</v>
      </c>
      <c r="M11" s="64">
        <v>45</v>
      </c>
      <c r="N11" s="64">
        <v>84</v>
      </c>
      <c r="O11" s="64">
        <v>34</v>
      </c>
      <c r="P11" s="64">
        <v>39</v>
      </c>
      <c r="Q11" s="64">
        <v>48</v>
      </c>
      <c r="R11" s="64">
        <v>80</v>
      </c>
      <c r="S11" s="64">
        <v>71</v>
      </c>
      <c r="T11" s="64">
        <v>92</v>
      </c>
      <c r="U11" s="64">
        <v>100</v>
      </c>
      <c r="V11" s="64">
        <v>43</v>
      </c>
      <c r="W11" s="64">
        <v>38</v>
      </c>
      <c r="X11" s="64">
        <v>44</v>
      </c>
      <c r="Y11" s="64">
        <v>48</v>
      </c>
      <c r="Z11" s="64">
        <v>51</v>
      </c>
      <c r="AA11" s="64">
        <v>29</v>
      </c>
      <c r="AB11" s="64">
        <v>64</v>
      </c>
      <c r="AC11" s="64">
        <v>63</v>
      </c>
      <c r="AD11" s="64">
        <v>53</v>
      </c>
      <c r="AE11" s="64">
        <v>30</v>
      </c>
      <c r="AF11" s="64">
        <v>66</v>
      </c>
      <c r="AG11" s="64">
        <v>68</v>
      </c>
      <c r="AH11" s="64">
        <v>49</v>
      </c>
      <c r="AI11" s="64">
        <v>63</v>
      </c>
      <c r="AJ11" s="64">
        <v>41</v>
      </c>
      <c r="AK11" s="64">
        <v>87</v>
      </c>
      <c r="AL11" s="64">
        <v>41</v>
      </c>
      <c r="AM11" s="64">
        <v>0</v>
      </c>
      <c r="AN11" s="64">
        <v>0</v>
      </c>
      <c r="AO11" s="64">
        <v>0</v>
      </c>
      <c r="AP11" s="64">
        <v>0</v>
      </c>
      <c r="AQ11" s="68">
        <f t="shared" si="1"/>
        <v>1908</v>
      </c>
      <c r="AR11" s="61"/>
      <c r="AS11" s="21" t="s">
        <v>37</v>
      </c>
      <c r="AT11" s="54" t="s">
        <v>38</v>
      </c>
      <c r="AU11" s="7">
        <f t="shared" si="2"/>
        <v>15</v>
      </c>
      <c r="AV11" s="7">
        <f t="shared" si="0"/>
        <v>14</v>
      </c>
      <c r="AW11" s="7">
        <f t="shared" si="0"/>
        <v>1</v>
      </c>
      <c r="AX11" s="7">
        <f t="shared" si="0"/>
        <v>7</v>
      </c>
      <c r="AY11" s="7">
        <f t="shared" si="0"/>
        <v>5</v>
      </c>
      <c r="AZ11" s="7">
        <f t="shared" si="0"/>
        <v>12</v>
      </c>
      <c r="BA11" s="7">
        <f t="shared" si="0"/>
        <v>15</v>
      </c>
      <c r="BB11" s="7">
        <f t="shared" si="0"/>
        <v>6</v>
      </c>
      <c r="BC11" s="7">
        <f t="shared" si="0"/>
        <v>7</v>
      </c>
      <c r="BD11" s="7">
        <f t="shared" si="0"/>
        <v>3</v>
      </c>
      <c r="BE11" s="7">
        <f t="shared" si="0"/>
        <v>13</v>
      </c>
      <c r="BF11" s="7">
        <f t="shared" si="0"/>
        <v>4</v>
      </c>
      <c r="BG11" s="7">
        <f t="shared" si="0"/>
        <v>6</v>
      </c>
      <c r="BH11" s="7">
        <f t="shared" si="0"/>
        <v>3</v>
      </c>
      <c r="BI11" s="7">
        <f t="shared" si="0"/>
        <v>1</v>
      </c>
      <c r="BJ11" s="7">
        <f t="shared" si="0"/>
        <v>1</v>
      </c>
      <c r="BK11" s="7">
        <f t="shared" si="0"/>
        <v>1</v>
      </c>
      <c r="BL11" s="7">
        <f t="shared" si="0"/>
        <v>7</v>
      </c>
      <c r="BM11" s="7">
        <f t="shared" si="0"/>
        <v>8</v>
      </c>
      <c r="BN11" s="7">
        <f t="shared" si="0"/>
        <v>10</v>
      </c>
      <c r="BO11" s="7">
        <f t="shared" si="0"/>
        <v>17</v>
      </c>
      <c r="BP11" s="7">
        <f t="shared" si="0"/>
        <v>1</v>
      </c>
      <c r="BQ11" s="7">
        <f t="shared" si="0"/>
        <v>16</v>
      </c>
      <c r="BR11" s="7">
        <f t="shared" si="0"/>
        <v>5</v>
      </c>
      <c r="BS11" s="7">
        <f t="shared" si="0"/>
        <v>15</v>
      </c>
      <c r="BT11" s="7">
        <f t="shared" si="0"/>
        <v>12</v>
      </c>
      <c r="BU11" s="7">
        <f t="shared" si="0"/>
        <v>17</v>
      </c>
      <c r="BV11" s="7">
        <f t="shared" si="0"/>
        <v>11</v>
      </c>
      <c r="BW11" s="7">
        <f t="shared" si="0"/>
        <v>9</v>
      </c>
      <c r="BX11" s="7">
        <f t="shared" si="0"/>
        <v>9</v>
      </c>
      <c r="BY11" s="7">
        <f t="shared" si="0"/>
        <v>2</v>
      </c>
      <c r="BZ11" s="7">
        <f t="shared" si="0"/>
        <v>17</v>
      </c>
      <c r="CA11" s="7">
        <f t="shared" si="0"/>
        <v>9</v>
      </c>
      <c r="CB11" s="7">
        <f t="shared" si="0"/>
        <v>14</v>
      </c>
      <c r="CC11" s="7">
        <f t="shared" si="0"/>
        <v>1</v>
      </c>
      <c r="CD11" s="7">
        <f t="shared" si="0"/>
        <v>1</v>
      </c>
      <c r="CE11" s="7">
        <f t="shared" si="0"/>
        <v>1</v>
      </c>
      <c r="CF11" s="7">
        <f t="shared" si="0"/>
        <v>1</v>
      </c>
      <c r="CH11" s="21" t="s">
        <v>37</v>
      </c>
      <c r="CI11" s="54" t="s">
        <v>38</v>
      </c>
      <c r="CJ11" s="8">
        <f t="shared" si="3"/>
        <v>43</v>
      </c>
      <c r="CK11" s="8">
        <f t="shared" si="4"/>
        <v>15</v>
      </c>
      <c r="CL11" s="8">
        <f t="shared" ref="CL11:CL25" si="5">VLOOKUP(CH11,$C$8:$AQ$25,$CL$7,)</f>
        <v>1908</v>
      </c>
    </row>
    <row r="12" spans="1:90" x14ac:dyDescent="0.2">
      <c r="A12" s="83" t="s">
        <v>164</v>
      </c>
      <c r="B12" s="12">
        <v>4</v>
      </c>
      <c r="C12" s="21" t="s">
        <v>39</v>
      </c>
      <c r="D12" s="54" t="s">
        <v>40</v>
      </c>
      <c r="E12" s="64">
        <v>62</v>
      </c>
      <c r="F12" s="64">
        <v>37</v>
      </c>
      <c r="G12" s="64">
        <v>56</v>
      </c>
      <c r="H12" s="64">
        <v>69</v>
      </c>
      <c r="I12" s="64">
        <v>76</v>
      </c>
      <c r="J12" s="64">
        <v>78</v>
      </c>
      <c r="K12" s="64">
        <v>79</v>
      </c>
      <c r="L12" s="64">
        <v>57</v>
      </c>
      <c r="M12" s="64">
        <v>42</v>
      </c>
      <c r="N12" s="64">
        <v>71</v>
      </c>
      <c r="O12" s="64">
        <v>36</v>
      </c>
      <c r="P12" s="64">
        <v>38</v>
      </c>
      <c r="Q12" s="64">
        <v>50</v>
      </c>
      <c r="R12" s="64">
        <v>56</v>
      </c>
      <c r="S12" s="64">
        <v>60</v>
      </c>
      <c r="T12" s="64">
        <v>64</v>
      </c>
      <c r="U12" s="64">
        <v>79</v>
      </c>
      <c r="V12" s="64">
        <v>39</v>
      </c>
      <c r="W12" s="64">
        <v>37</v>
      </c>
      <c r="X12" s="64">
        <v>44</v>
      </c>
      <c r="Y12" s="64">
        <v>53</v>
      </c>
      <c r="Z12" s="64">
        <v>31</v>
      </c>
      <c r="AA12" s="64">
        <v>49</v>
      </c>
      <c r="AB12" s="64">
        <v>53</v>
      </c>
      <c r="AC12" s="64">
        <v>74</v>
      </c>
      <c r="AD12" s="64">
        <v>67</v>
      </c>
      <c r="AE12" s="64">
        <v>52</v>
      </c>
      <c r="AF12" s="64">
        <v>66</v>
      </c>
      <c r="AG12" s="64">
        <v>79</v>
      </c>
      <c r="AH12" s="64">
        <v>47</v>
      </c>
      <c r="AI12" s="64">
        <v>48</v>
      </c>
      <c r="AJ12" s="64">
        <v>66</v>
      </c>
      <c r="AK12" s="64">
        <v>115</v>
      </c>
      <c r="AL12" s="64">
        <v>65</v>
      </c>
      <c r="AM12" s="64">
        <v>0</v>
      </c>
      <c r="AN12" s="64">
        <v>0</v>
      </c>
      <c r="AO12" s="64">
        <v>0</v>
      </c>
      <c r="AP12" s="64">
        <v>0</v>
      </c>
      <c r="AQ12" s="68">
        <f t="shared" si="1"/>
        <v>1995</v>
      </c>
      <c r="AR12" s="61"/>
      <c r="AS12" s="21" t="s">
        <v>39</v>
      </c>
      <c r="AT12" s="54" t="s">
        <v>40</v>
      </c>
      <c r="AU12" s="7">
        <f t="shared" si="2"/>
        <v>6</v>
      </c>
      <c r="AV12" s="7">
        <f t="shared" si="0"/>
        <v>16</v>
      </c>
      <c r="AW12" s="7">
        <f t="shared" si="0"/>
        <v>2</v>
      </c>
      <c r="AX12" s="7">
        <f t="shared" si="0"/>
        <v>9</v>
      </c>
      <c r="AY12" s="7">
        <f t="shared" si="0"/>
        <v>1</v>
      </c>
      <c r="AZ12" s="7">
        <f t="shared" si="0"/>
        <v>1</v>
      </c>
      <c r="BA12" s="7">
        <f t="shared" si="0"/>
        <v>4</v>
      </c>
      <c r="BB12" s="7">
        <f t="shared" si="0"/>
        <v>11</v>
      </c>
      <c r="BC12" s="7">
        <f t="shared" si="0"/>
        <v>11</v>
      </c>
      <c r="BD12" s="7">
        <f t="shared" si="0"/>
        <v>6</v>
      </c>
      <c r="BE12" s="7">
        <f t="shared" si="0"/>
        <v>12</v>
      </c>
      <c r="BF12" s="7">
        <f t="shared" si="0"/>
        <v>5</v>
      </c>
      <c r="BG12" s="7">
        <f t="shared" si="0"/>
        <v>4</v>
      </c>
      <c r="BH12" s="7">
        <f t="shared" si="0"/>
        <v>13</v>
      </c>
      <c r="BI12" s="7">
        <f t="shared" si="0"/>
        <v>5</v>
      </c>
      <c r="BJ12" s="7">
        <f t="shared" si="0"/>
        <v>12</v>
      </c>
      <c r="BK12" s="7">
        <f t="shared" si="0"/>
        <v>8</v>
      </c>
      <c r="BL12" s="7">
        <f t="shared" si="0"/>
        <v>11</v>
      </c>
      <c r="BM12" s="7">
        <f t="shared" si="0"/>
        <v>10</v>
      </c>
      <c r="BN12" s="7">
        <f t="shared" si="0"/>
        <v>10</v>
      </c>
      <c r="BO12" s="7">
        <f t="shared" si="0"/>
        <v>12</v>
      </c>
      <c r="BP12" s="7">
        <f t="shared" si="0"/>
        <v>14</v>
      </c>
      <c r="BQ12" s="7">
        <f t="shared" si="0"/>
        <v>5</v>
      </c>
      <c r="BR12" s="7">
        <f t="shared" si="0"/>
        <v>9</v>
      </c>
      <c r="BS12" s="7">
        <f t="shared" si="0"/>
        <v>7</v>
      </c>
      <c r="BT12" s="7">
        <f t="shared" si="0"/>
        <v>4</v>
      </c>
      <c r="BU12" s="7">
        <f t="shared" si="0"/>
        <v>2</v>
      </c>
      <c r="BV12" s="7">
        <f t="shared" si="0"/>
        <v>11</v>
      </c>
      <c r="BW12" s="7">
        <f t="shared" si="0"/>
        <v>2</v>
      </c>
      <c r="BX12" s="7">
        <f t="shared" si="0"/>
        <v>13</v>
      </c>
      <c r="BY12" s="7">
        <f t="shared" si="0"/>
        <v>15</v>
      </c>
      <c r="BZ12" s="7">
        <f t="shared" si="0"/>
        <v>2</v>
      </c>
      <c r="CA12" s="7">
        <f t="shared" si="0"/>
        <v>3</v>
      </c>
      <c r="CB12" s="7">
        <f t="shared" si="0"/>
        <v>3</v>
      </c>
      <c r="CC12" s="7">
        <f t="shared" si="0"/>
        <v>1</v>
      </c>
      <c r="CD12" s="7">
        <f t="shared" si="0"/>
        <v>1</v>
      </c>
      <c r="CE12" s="7">
        <f t="shared" si="0"/>
        <v>1</v>
      </c>
      <c r="CF12" s="7">
        <f t="shared" si="0"/>
        <v>1</v>
      </c>
      <c r="CH12" s="21" t="s">
        <v>39</v>
      </c>
      <c r="CI12" s="54" t="s">
        <v>40</v>
      </c>
      <c r="CJ12" s="8">
        <f t="shared" si="3"/>
        <v>62</v>
      </c>
      <c r="CK12" s="8">
        <f t="shared" si="4"/>
        <v>6</v>
      </c>
      <c r="CL12" s="8">
        <f t="shared" si="5"/>
        <v>1995</v>
      </c>
    </row>
    <row r="13" spans="1:90" x14ac:dyDescent="0.2">
      <c r="A13" s="83" t="s">
        <v>165</v>
      </c>
      <c r="B13" s="12">
        <v>5</v>
      </c>
      <c r="C13" s="21" t="s">
        <v>41</v>
      </c>
      <c r="D13" s="54" t="s">
        <v>42</v>
      </c>
      <c r="E13" s="64">
        <v>43</v>
      </c>
      <c r="F13" s="64">
        <v>42</v>
      </c>
      <c r="G13" s="64">
        <v>34</v>
      </c>
      <c r="H13" s="64">
        <v>73</v>
      </c>
      <c r="I13" s="64">
        <v>52</v>
      </c>
      <c r="J13" s="64">
        <v>21</v>
      </c>
      <c r="K13" s="64">
        <v>86</v>
      </c>
      <c r="L13" s="64">
        <v>57</v>
      </c>
      <c r="M13" s="64">
        <v>34</v>
      </c>
      <c r="N13" s="64">
        <v>65</v>
      </c>
      <c r="O13" s="64">
        <v>43</v>
      </c>
      <c r="P13" s="64">
        <v>28</v>
      </c>
      <c r="Q13" s="64">
        <v>27</v>
      </c>
      <c r="R13" s="64">
        <v>53</v>
      </c>
      <c r="S13" s="64">
        <v>47</v>
      </c>
      <c r="T13" s="64">
        <v>63</v>
      </c>
      <c r="U13" s="64">
        <v>78</v>
      </c>
      <c r="V13" s="64">
        <v>43</v>
      </c>
      <c r="W13" s="64">
        <v>33</v>
      </c>
      <c r="X13" s="64">
        <v>53</v>
      </c>
      <c r="Y13" s="64">
        <v>71</v>
      </c>
      <c r="Z13" s="64">
        <v>35</v>
      </c>
      <c r="AA13" s="64">
        <v>56</v>
      </c>
      <c r="AB13" s="64">
        <v>52</v>
      </c>
      <c r="AC13" s="64">
        <v>49</v>
      </c>
      <c r="AD13" s="64">
        <v>55</v>
      </c>
      <c r="AE13" s="64">
        <v>54</v>
      </c>
      <c r="AF13" s="64">
        <v>59</v>
      </c>
      <c r="AG13" s="64">
        <v>51</v>
      </c>
      <c r="AH13" s="64">
        <v>39</v>
      </c>
      <c r="AI13" s="64">
        <v>51</v>
      </c>
      <c r="AJ13" s="64">
        <v>42</v>
      </c>
      <c r="AK13" s="64">
        <v>83</v>
      </c>
      <c r="AL13" s="64">
        <v>45</v>
      </c>
      <c r="AM13" s="64">
        <v>0</v>
      </c>
      <c r="AN13" s="64">
        <v>0</v>
      </c>
      <c r="AO13" s="64">
        <v>0</v>
      </c>
      <c r="AP13" s="64">
        <v>0</v>
      </c>
      <c r="AQ13" s="68">
        <f t="shared" si="1"/>
        <v>1717</v>
      </c>
      <c r="AR13" s="61"/>
      <c r="AS13" s="21" t="s">
        <v>41</v>
      </c>
      <c r="AT13" s="54" t="s">
        <v>42</v>
      </c>
      <c r="AU13" s="7">
        <f t="shared" si="2"/>
        <v>15</v>
      </c>
      <c r="AV13" s="7">
        <f t="shared" si="0"/>
        <v>13</v>
      </c>
      <c r="AW13" s="7">
        <f t="shared" si="0"/>
        <v>17</v>
      </c>
      <c r="AX13" s="7">
        <f t="shared" si="0"/>
        <v>6</v>
      </c>
      <c r="AY13" s="7">
        <f t="shared" si="0"/>
        <v>6</v>
      </c>
      <c r="AZ13" s="7">
        <f t="shared" si="0"/>
        <v>17</v>
      </c>
      <c r="BA13" s="7">
        <f t="shared" si="0"/>
        <v>3</v>
      </c>
      <c r="BB13" s="7">
        <f t="shared" si="0"/>
        <v>11</v>
      </c>
      <c r="BC13" s="7">
        <f t="shared" si="0"/>
        <v>16</v>
      </c>
      <c r="BD13" s="7">
        <f t="shared" si="0"/>
        <v>10</v>
      </c>
      <c r="BE13" s="7">
        <f t="shared" si="0"/>
        <v>5</v>
      </c>
      <c r="BF13" s="7">
        <f t="shared" si="0"/>
        <v>15</v>
      </c>
      <c r="BG13" s="7">
        <f t="shared" si="0"/>
        <v>15</v>
      </c>
      <c r="BH13" s="7">
        <f t="shared" si="0"/>
        <v>16</v>
      </c>
      <c r="BI13" s="7">
        <f t="shared" si="0"/>
        <v>12</v>
      </c>
      <c r="BJ13" s="7">
        <f t="shared" si="0"/>
        <v>13</v>
      </c>
      <c r="BK13" s="7">
        <f t="shared" si="0"/>
        <v>10</v>
      </c>
      <c r="BL13" s="7">
        <f t="shared" si="0"/>
        <v>7</v>
      </c>
      <c r="BM13" s="7">
        <f t="shared" si="0"/>
        <v>12</v>
      </c>
      <c r="BN13" s="7">
        <f t="shared" si="0"/>
        <v>6</v>
      </c>
      <c r="BO13" s="7">
        <f t="shared" si="0"/>
        <v>1</v>
      </c>
      <c r="BP13" s="7">
        <f t="shared" si="0"/>
        <v>9</v>
      </c>
      <c r="BQ13" s="7">
        <f t="shared" si="0"/>
        <v>2</v>
      </c>
      <c r="BR13" s="7">
        <f t="shared" si="0"/>
        <v>10</v>
      </c>
      <c r="BS13" s="7">
        <f t="shared" si="0"/>
        <v>16</v>
      </c>
      <c r="BT13" s="7">
        <f t="shared" si="0"/>
        <v>9</v>
      </c>
      <c r="BU13" s="7">
        <f t="shared" si="0"/>
        <v>1</v>
      </c>
      <c r="BV13" s="7">
        <f t="shared" si="0"/>
        <v>16</v>
      </c>
      <c r="BW13" s="7">
        <f t="shared" si="0"/>
        <v>15</v>
      </c>
      <c r="BX13" s="7">
        <f t="shared" si="0"/>
        <v>16</v>
      </c>
      <c r="BY13" s="7">
        <f t="shared" si="0"/>
        <v>12</v>
      </c>
      <c r="BZ13" s="7">
        <f t="shared" si="0"/>
        <v>16</v>
      </c>
      <c r="CA13" s="7">
        <f t="shared" si="0"/>
        <v>10</v>
      </c>
      <c r="CB13" s="7">
        <f t="shared" si="0"/>
        <v>13</v>
      </c>
      <c r="CC13" s="7">
        <f t="shared" si="0"/>
        <v>1</v>
      </c>
      <c r="CD13" s="7">
        <f t="shared" si="0"/>
        <v>1</v>
      </c>
      <c r="CE13" s="7">
        <f t="shared" si="0"/>
        <v>1</v>
      </c>
      <c r="CF13" s="7">
        <f t="shared" si="0"/>
        <v>1</v>
      </c>
      <c r="CH13" s="21" t="s">
        <v>41</v>
      </c>
      <c r="CI13" s="54" t="s">
        <v>42</v>
      </c>
      <c r="CJ13" s="8">
        <f t="shared" si="3"/>
        <v>43</v>
      </c>
      <c r="CK13" s="8">
        <f t="shared" si="4"/>
        <v>15</v>
      </c>
      <c r="CL13" s="8">
        <f t="shared" si="5"/>
        <v>1717</v>
      </c>
    </row>
    <row r="14" spans="1:90" x14ac:dyDescent="0.2">
      <c r="A14" s="83" t="s">
        <v>166</v>
      </c>
      <c r="B14" s="12">
        <v>6</v>
      </c>
      <c r="C14" s="21" t="s">
        <v>43</v>
      </c>
      <c r="D14" s="54" t="s">
        <v>44</v>
      </c>
      <c r="E14" s="64">
        <v>55</v>
      </c>
      <c r="F14" s="64">
        <v>53</v>
      </c>
      <c r="G14" s="64">
        <v>44</v>
      </c>
      <c r="H14" s="64">
        <v>59</v>
      </c>
      <c r="I14" s="64">
        <v>41</v>
      </c>
      <c r="J14" s="64">
        <v>70</v>
      </c>
      <c r="K14" s="64">
        <v>87</v>
      </c>
      <c r="L14" s="64">
        <v>91</v>
      </c>
      <c r="M14" s="64">
        <v>43</v>
      </c>
      <c r="N14" s="64">
        <v>78</v>
      </c>
      <c r="O14" s="64">
        <v>38</v>
      </c>
      <c r="P14" s="64">
        <v>34</v>
      </c>
      <c r="Q14" s="64">
        <v>60</v>
      </c>
      <c r="R14" s="64">
        <v>75</v>
      </c>
      <c r="S14" s="64">
        <v>52</v>
      </c>
      <c r="T14" s="64">
        <v>73</v>
      </c>
      <c r="U14" s="64">
        <v>65</v>
      </c>
      <c r="V14" s="64">
        <v>36</v>
      </c>
      <c r="W14" s="64">
        <v>40</v>
      </c>
      <c r="X14" s="64">
        <v>56</v>
      </c>
      <c r="Y14" s="64">
        <v>51</v>
      </c>
      <c r="Z14" s="64">
        <v>40</v>
      </c>
      <c r="AA14" s="64">
        <v>22</v>
      </c>
      <c r="AB14" s="64">
        <v>75</v>
      </c>
      <c r="AC14" s="64">
        <v>69</v>
      </c>
      <c r="AD14" s="64">
        <v>71</v>
      </c>
      <c r="AE14" s="64">
        <v>40</v>
      </c>
      <c r="AF14" s="64">
        <v>79</v>
      </c>
      <c r="AG14" s="64">
        <v>63</v>
      </c>
      <c r="AH14" s="64">
        <v>48</v>
      </c>
      <c r="AI14" s="64">
        <v>55</v>
      </c>
      <c r="AJ14" s="64">
        <v>65</v>
      </c>
      <c r="AK14" s="64">
        <v>121</v>
      </c>
      <c r="AL14" s="64">
        <v>56</v>
      </c>
      <c r="AM14" s="64">
        <v>0</v>
      </c>
      <c r="AN14" s="64">
        <v>0</v>
      </c>
      <c r="AO14" s="64">
        <v>0</v>
      </c>
      <c r="AP14" s="64">
        <v>0</v>
      </c>
      <c r="AQ14" s="68">
        <f t="shared" si="1"/>
        <v>2005</v>
      </c>
      <c r="AR14" s="61"/>
      <c r="AS14" s="21" t="s">
        <v>43</v>
      </c>
      <c r="AT14" s="54" t="s">
        <v>44</v>
      </c>
      <c r="AU14" s="7">
        <f t="shared" si="2"/>
        <v>10</v>
      </c>
      <c r="AV14" s="7">
        <f t="shared" si="0"/>
        <v>5</v>
      </c>
      <c r="AW14" s="7">
        <f t="shared" si="0"/>
        <v>12</v>
      </c>
      <c r="AX14" s="7">
        <f t="shared" si="0"/>
        <v>14</v>
      </c>
      <c r="AY14" s="7">
        <f t="shared" si="0"/>
        <v>13</v>
      </c>
      <c r="AZ14" s="7">
        <f t="shared" si="0"/>
        <v>2</v>
      </c>
      <c r="BA14" s="7">
        <f t="shared" si="0"/>
        <v>1</v>
      </c>
      <c r="BB14" s="7">
        <f t="shared" si="0"/>
        <v>1</v>
      </c>
      <c r="BC14" s="7">
        <f t="shared" si="0"/>
        <v>9</v>
      </c>
      <c r="BD14" s="7">
        <f t="shared" si="0"/>
        <v>4</v>
      </c>
      <c r="BE14" s="7">
        <f t="shared" si="0"/>
        <v>10</v>
      </c>
      <c r="BF14" s="7">
        <f t="shared" si="0"/>
        <v>9</v>
      </c>
      <c r="BG14" s="7">
        <f t="shared" si="0"/>
        <v>2</v>
      </c>
      <c r="BH14" s="7">
        <f t="shared" si="0"/>
        <v>4</v>
      </c>
      <c r="BI14" s="7">
        <f t="shared" si="0"/>
        <v>10</v>
      </c>
      <c r="BJ14" s="7">
        <f t="shared" si="0"/>
        <v>8</v>
      </c>
      <c r="BK14" s="7">
        <f t="shared" si="0"/>
        <v>16</v>
      </c>
      <c r="BL14" s="7">
        <f t="shared" si="0"/>
        <v>12</v>
      </c>
      <c r="BM14" s="7">
        <f t="shared" si="0"/>
        <v>5</v>
      </c>
      <c r="BN14" s="7">
        <f t="shared" si="0"/>
        <v>4</v>
      </c>
      <c r="BO14" s="7">
        <f t="shared" si="0"/>
        <v>14</v>
      </c>
      <c r="BP14" s="7">
        <f t="shared" si="0"/>
        <v>5</v>
      </c>
      <c r="BQ14" s="7">
        <f t="shared" si="0"/>
        <v>17</v>
      </c>
      <c r="BR14" s="7">
        <f t="shared" si="0"/>
        <v>1</v>
      </c>
      <c r="BS14" s="7">
        <f t="shared" si="0"/>
        <v>9</v>
      </c>
      <c r="BT14" s="7">
        <f t="shared" si="0"/>
        <v>2</v>
      </c>
      <c r="BU14" s="7">
        <f t="shared" si="0"/>
        <v>12</v>
      </c>
      <c r="BV14" s="7">
        <f t="shared" si="0"/>
        <v>1</v>
      </c>
      <c r="BW14" s="7">
        <f t="shared" si="0"/>
        <v>11</v>
      </c>
      <c r="BX14" s="7">
        <f t="shared" si="0"/>
        <v>11</v>
      </c>
      <c r="BY14" s="7">
        <f t="shared" si="0"/>
        <v>6</v>
      </c>
      <c r="BZ14" s="7">
        <f t="shared" si="0"/>
        <v>6</v>
      </c>
      <c r="CA14" s="7">
        <f t="shared" si="0"/>
        <v>2</v>
      </c>
      <c r="CB14" s="7">
        <f t="shared" si="0"/>
        <v>7</v>
      </c>
      <c r="CC14" s="7">
        <f t="shared" si="0"/>
        <v>1</v>
      </c>
      <c r="CD14" s="7">
        <f t="shared" si="0"/>
        <v>1</v>
      </c>
      <c r="CE14" s="7">
        <f t="shared" si="0"/>
        <v>1</v>
      </c>
      <c r="CF14" s="7">
        <f t="shared" si="0"/>
        <v>1</v>
      </c>
      <c r="CH14" s="21" t="s">
        <v>43</v>
      </c>
      <c r="CI14" s="54" t="s">
        <v>44</v>
      </c>
      <c r="CJ14" s="8">
        <f t="shared" si="3"/>
        <v>55</v>
      </c>
      <c r="CK14" s="8">
        <f t="shared" si="4"/>
        <v>10</v>
      </c>
      <c r="CL14" s="8">
        <f t="shared" si="5"/>
        <v>2005</v>
      </c>
    </row>
    <row r="15" spans="1:90" x14ac:dyDescent="0.2">
      <c r="A15" s="83" t="s">
        <v>167</v>
      </c>
      <c r="B15" s="12">
        <v>7</v>
      </c>
      <c r="C15" s="21" t="s">
        <v>45</v>
      </c>
      <c r="D15" s="54" t="s">
        <v>46</v>
      </c>
      <c r="E15" s="64">
        <v>58</v>
      </c>
      <c r="F15" s="64">
        <v>45</v>
      </c>
      <c r="G15" s="64">
        <v>41</v>
      </c>
      <c r="H15" s="64">
        <v>66</v>
      </c>
      <c r="I15" s="64">
        <v>50</v>
      </c>
      <c r="J15" s="64">
        <v>38</v>
      </c>
      <c r="K15" s="64">
        <v>46</v>
      </c>
      <c r="L15" s="64">
        <v>46</v>
      </c>
      <c r="M15" s="64">
        <v>52</v>
      </c>
      <c r="N15" s="64">
        <v>64</v>
      </c>
      <c r="O15" s="64">
        <v>38</v>
      </c>
      <c r="P15" s="64">
        <v>24</v>
      </c>
      <c r="Q15" s="64">
        <v>34</v>
      </c>
      <c r="R15" s="64">
        <v>74</v>
      </c>
      <c r="S15" s="64">
        <v>67</v>
      </c>
      <c r="T15" s="64">
        <v>85</v>
      </c>
      <c r="U15" s="64">
        <v>80</v>
      </c>
      <c r="V15" s="64">
        <v>34</v>
      </c>
      <c r="W15" s="64">
        <v>31</v>
      </c>
      <c r="X15" s="64">
        <v>41</v>
      </c>
      <c r="Y15" s="64">
        <v>59</v>
      </c>
      <c r="Z15" s="64">
        <v>38</v>
      </c>
      <c r="AA15" s="64">
        <v>48</v>
      </c>
      <c r="AB15" s="64">
        <v>44</v>
      </c>
      <c r="AC15" s="64">
        <v>68</v>
      </c>
      <c r="AD15" s="64">
        <v>55</v>
      </c>
      <c r="AE15" s="64">
        <v>44</v>
      </c>
      <c r="AF15" s="64">
        <v>79</v>
      </c>
      <c r="AG15" s="64">
        <v>82</v>
      </c>
      <c r="AH15" s="64">
        <v>55</v>
      </c>
      <c r="AI15" s="64">
        <v>59</v>
      </c>
      <c r="AJ15" s="64">
        <v>52</v>
      </c>
      <c r="AK15" s="64">
        <v>82</v>
      </c>
      <c r="AL15" s="64">
        <v>46</v>
      </c>
      <c r="AM15" s="64">
        <v>0</v>
      </c>
      <c r="AN15" s="64">
        <v>0</v>
      </c>
      <c r="AO15" s="64">
        <v>0</v>
      </c>
      <c r="AP15" s="64">
        <v>0</v>
      </c>
      <c r="AQ15" s="68">
        <f t="shared" si="1"/>
        <v>1825</v>
      </c>
      <c r="AR15" s="61"/>
      <c r="AS15" s="21" t="s">
        <v>45</v>
      </c>
      <c r="AT15" s="54" t="s">
        <v>46</v>
      </c>
      <c r="AU15" s="7">
        <f t="shared" si="2"/>
        <v>7</v>
      </c>
      <c r="AV15" s="7">
        <f t="shared" si="0"/>
        <v>12</v>
      </c>
      <c r="AW15" s="7">
        <f t="shared" si="0"/>
        <v>14</v>
      </c>
      <c r="AX15" s="7">
        <f t="shared" si="0"/>
        <v>10</v>
      </c>
      <c r="AY15" s="7">
        <f t="shared" si="0"/>
        <v>9</v>
      </c>
      <c r="AZ15" s="7">
        <f t="shared" si="0"/>
        <v>14</v>
      </c>
      <c r="BA15" s="7">
        <f t="shared" si="0"/>
        <v>17</v>
      </c>
      <c r="BB15" s="7">
        <f t="shared" si="0"/>
        <v>17</v>
      </c>
      <c r="BC15" s="7">
        <f t="shared" si="0"/>
        <v>3</v>
      </c>
      <c r="BD15" s="7">
        <f t="shared" si="0"/>
        <v>11</v>
      </c>
      <c r="BE15" s="7">
        <f t="shared" si="0"/>
        <v>10</v>
      </c>
      <c r="BF15" s="7">
        <f t="shared" si="0"/>
        <v>17</v>
      </c>
      <c r="BG15" s="7">
        <f t="shared" si="0"/>
        <v>10</v>
      </c>
      <c r="BH15" s="7">
        <f t="shared" si="0"/>
        <v>5</v>
      </c>
      <c r="BI15" s="7">
        <f t="shared" si="0"/>
        <v>3</v>
      </c>
      <c r="BJ15" s="7">
        <f t="shared" si="0"/>
        <v>3</v>
      </c>
      <c r="BK15" s="7">
        <f t="shared" si="0"/>
        <v>5</v>
      </c>
      <c r="BL15" s="7">
        <f t="shared" si="0"/>
        <v>14</v>
      </c>
      <c r="BM15" s="7">
        <f t="shared" si="0"/>
        <v>15</v>
      </c>
      <c r="BN15" s="7">
        <f t="shared" si="0"/>
        <v>15</v>
      </c>
      <c r="BO15" s="7">
        <f t="shared" si="0"/>
        <v>10</v>
      </c>
      <c r="BP15" s="7">
        <f t="shared" si="0"/>
        <v>7</v>
      </c>
      <c r="BQ15" s="7">
        <f t="shared" si="0"/>
        <v>7</v>
      </c>
      <c r="BR15" s="7">
        <f t="shared" si="0"/>
        <v>15</v>
      </c>
      <c r="BS15" s="7">
        <f t="shared" si="0"/>
        <v>11</v>
      </c>
      <c r="BT15" s="7">
        <f t="shared" si="0"/>
        <v>9</v>
      </c>
      <c r="BU15" s="7">
        <f t="shared" si="0"/>
        <v>6</v>
      </c>
      <c r="BV15" s="7">
        <f t="shared" si="0"/>
        <v>1</v>
      </c>
      <c r="BW15" s="7">
        <f t="shared" si="0"/>
        <v>1</v>
      </c>
      <c r="BX15" s="7">
        <f t="shared" si="0"/>
        <v>6</v>
      </c>
      <c r="BY15" s="7">
        <f t="shared" si="0"/>
        <v>4</v>
      </c>
      <c r="BZ15" s="7">
        <f t="shared" si="0"/>
        <v>11</v>
      </c>
      <c r="CA15" s="7">
        <f t="shared" si="0"/>
        <v>11</v>
      </c>
      <c r="CB15" s="7">
        <f t="shared" si="0"/>
        <v>12</v>
      </c>
      <c r="CC15" s="7">
        <f t="shared" ref="CC15:CC25" si="6">RANK(AM15,AM$9:AM$25,)</f>
        <v>1</v>
      </c>
      <c r="CD15" s="7">
        <f t="shared" ref="CD15:CD25" si="7">RANK(AN15,AN$9:AN$25,)</f>
        <v>1</v>
      </c>
      <c r="CE15" s="7">
        <f t="shared" ref="CE15:CE25" si="8">RANK(AO15,AO$9:AO$25,)</f>
        <v>1</v>
      </c>
      <c r="CF15" s="7">
        <f t="shared" ref="CF15:CF25" si="9">RANK(AP15,AP$9:AP$25,)</f>
        <v>1</v>
      </c>
      <c r="CH15" s="21" t="s">
        <v>45</v>
      </c>
      <c r="CI15" s="54" t="s">
        <v>46</v>
      </c>
      <c r="CJ15" s="8">
        <f t="shared" si="3"/>
        <v>58</v>
      </c>
      <c r="CK15" s="8">
        <f t="shared" si="4"/>
        <v>7</v>
      </c>
      <c r="CL15" s="8">
        <f t="shared" si="5"/>
        <v>1825</v>
      </c>
    </row>
    <row r="16" spans="1:90" x14ac:dyDescent="0.2">
      <c r="A16" s="83" t="s">
        <v>168</v>
      </c>
      <c r="B16" s="12">
        <v>8</v>
      </c>
      <c r="C16" s="21" t="s">
        <v>47</v>
      </c>
      <c r="D16" s="54" t="s">
        <v>48</v>
      </c>
      <c r="E16" s="64">
        <v>56</v>
      </c>
      <c r="F16" s="64">
        <v>60</v>
      </c>
      <c r="G16" s="64">
        <v>47</v>
      </c>
      <c r="H16" s="64">
        <v>63</v>
      </c>
      <c r="I16" s="64">
        <v>45</v>
      </c>
      <c r="J16" s="64">
        <v>62</v>
      </c>
      <c r="K16" s="64">
        <v>64</v>
      </c>
      <c r="L16" s="64">
        <v>53</v>
      </c>
      <c r="M16" s="64">
        <v>51</v>
      </c>
      <c r="N16" s="64">
        <v>68</v>
      </c>
      <c r="O16" s="64">
        <v>53</v>
      </c>
      <c r="P16" s="64">
        <v>29</v>
      </c>
      <c r="Q16" s="64">
        <v>50</v>
      </c>
      <c r="R16" s="64">
        <v>87</v>
      </c>
      <c r="S16" s="64">
        <v>57</v>
      </c>
      <c r="T16" s="64">
        <v>76</v>
      </c>
      <c r="U16" s="64">
        <v>74</v>
      </c>
      <c r="V16" s="64">
        <v>40</v>
      </c>
      <c r="W16" s="64">
        <v>26</v>
      </c>
      <c r="X16" s="64">
        <v>49</v>
      </c>
      <c r="Y16" s="64">
        <v>56</v>
      </c>
      <c r="Z16" s="64">
        <v>27</v>
      </c>
      <c r="AA16" s="64">
        <v>44</v>
      </c>
      <c r="AB16" s="64">
        <v>59</v>
      </c>
      <c r="AC16" s="64">
        <v>80</v>
      </c>
      <c r="AD16" s="64">
        <v>44</v>
      </c>
      <c r="AE16" s="64">
        <v>34</v>
      </c>
      <c r="AF16" s="64">
        <v>79</v>
      </c>
      <c r="AG16" s="64">
        <v>74</v>
      </c>
      <c r="AH16" s="64">
        <v>61</v>
      </c>
      <c r="AI16" s="64">
        <v>55</v>
      </c>
      <c r="AJ16" s="64">
        <v>44</v>
      </c>
      <c r="AK16" s="64">
        <v>112</v>
      </c>
      <c r="AL16" s="64">
        <v>71</v>
      </c>
      <c r="AM16" s="64">
        <v>0</v>
      </c>
      <c r="AN16" s="64">
        <v>0</v>
      </c>
      <c r="AO16" s="64">
        <v>0</v>
      </c>
      <c r="AP16" s="64">
        <v>0</v>
      </c>
      <c r="AQ16" s="68">
        <f t="shared" si="1"/>
        <v>1950</v>
      </c>
      <c r="AR16" s="61"/>
      <c r="AS16" s="21" t="s">
        <v>47</v>
      </c>
      <c r="AT16" s="54" t="s">
        <v>48</v>
      </c>
      <c r="AU16" s="7">
        <f t="shared" si="2"/>
        <v>8</v>
      </c>
      <c r="AV16" s="7">
        <f t="shared" ref="AV16:AV25" si="10">RANK(F16,F$9:F$25,)</f>
        <v>2</v>
      </c>
      <c r="AW16" s="7">
        <f t="shared" ref="AW16:AW25" si="11">RANK(G16,G$9:G$25,)</f>
        <v>8</v>
      </c>
      <c r="AX16" s="7">
        <f t="shared" ref="AX16:AX25" si="12">RANK(H16,H$9:H$25,)</f>
        <v>13</v>
      </c>
      <c r="AY16" s="7">
        <f t="shared" ref="AY16:AY25" si="13">RANK(I16,I$9:I$25,)</f>
        <v>12</v>
      </c>
      <c r="AZ16" s="7">
        <f t="shared" ref="AZ16:AZ25" si="14">RANK(J16,J$9:J$25,)</f>
        <v>4</v>
      </c>
      <c r="BA16" s="7">
        <f t="shared" ref="BA16:BA25" si="15">RANK(K16,K$9:K$25,)</f>
        <v>10</v>
      </c>
      <c r="BB16" s="7">
        <f t="shared" ref="BB16:BB25" si="16">RANK(L16,L$9:L$25,)</f>
        <v>14</v>
      </c>
      <c r="BC16" s="7">
        <f t="shared" ref="BC16:BC25" si="17">RANK(M16,M$9:M$25,)</f>
        <v>4</v>
      </c>
      <c r="BD16" s="7">
        <f t="shared" ref="BD16:BD25" si="18">RANK(N16,N$9:N$25,)</f>
        <v>8</v>
      </c>
      <c r="BE16" s="7">
        <f t="shared" ref="BE16:BE25" si="19">RANK(O16,O$9:O$25,)</f>
        <v>1</v>
      </c>
      <c r="BF16" s="7">
        <f t="shared" ref="BF16:BF25" si="20">RANK(P16,P$9:P$25,)</f>
        <v>13</v>
      </c>
      <c r="BG16" s="7">
        <f t="shared" ref="BG16:BG25" si="21">RANK(Q16,Q$9:Q$25,)</f>
        <v>4</v>
      </c>
      <c r="BH16" s="7">
        <f t="shared" ref="BH16:BH25" si="22">RANK(R16,R$9:R$25,)</f>
        <v>1</v>
      </c>
      <c r="BI16" s="7">
        <f t="shared" ref="BI16:BI25" si="23">RANK(S16,S$9:S$25,)</f>
        <v>6</v>
      </c>
      <c r="BJ16" s="7">
        <f t="shared" ref="BJ16:BJ25" si="24">RANK(T16,T$9:T$25,)</f>
        <v>5</v>
      </c>
      <c r="BK16" s="7">
        <f t="shared" ref="BK16:BK25" si="25">RANK(U16,U$9:U$25,)</f>
        <v>12</v>
      </c>
      <c r="BL16" s="7">
        <f t="shared" ref="BL16:BL25" si="26">RANK(V16,V$9:V$25,)</f>
        <v>10</v>
      </c>
      <c r="BM16" s="7">
        <f t="shared" ref="BM16:BM25" si="27">RANK(W16,W$9:W$25,)</f>
        <v>17</v>
      </c>
      <c r="BN16" s="7">
        <f t="shared" ref="BN16:BN25" si="28">RANK(X16,X$9:X$25,)</f>
        <v>9</v>
      </c>
      <c r="BO16" s="7">
        <f t="shared" ref="BO16:BO25" si="29">RANK(Y16,Y$9:Y$25,)</f>
        <v>11</v>
      </c>
      <c r="BP16" s="7">
        <f t="shared" ref="BP16:BP25" si="30">RANK(Z16,Z$9:Z$25,)</f>
        <v>17</v>
      </c>
      <c r="BQ16" s="7">
        <f t="shared" ref="BQ16:BQ25" si="31">RANK(AA16,AA$9:AA$25,)</f>
        <v>9</v>
      </c>
      <c r="BR16" s="7">
        <f t="shared" ref="BR16:BR25" si="32">RANK(AB16,AB$9:AB$25,)</f>
        <v>7</v>
      </c>
      <c r="BS16" s="7">
        <f t="shared" ref="BS16:BS25" si="33">RANK(AC16,AC$9:AC$25,)</f>
        <v>3</v>
      </c>
      <c r="BT16" s="7">
        <f t="shared" ref="BT16:BT25" si="34">RANK(AD16,AD$9:AD$25,)</f>
        <v>17</v>
      </c>
      <c r="BU16" s="7">
        <f t="shared" ref="BU16:BU25" si="35">RANK(AE16,AE$9:AE$25,)</f>
        <v>16</v>
      </c>
      <c r="BV16" s="7">
        <f t="shared" ref="BV16:BV25" si="36">RANK(AF16,AF$9:AF$25,)</f>
        <v>1</v>
      </c>
      <c r="BW16" s="7">
        <f t="shared" ref="BW16:BW25" si="37">RANK(AG16,AG$9:AG$25,)</f>
        <v>5</v>
      </c>
      <c r="BX16" s="7">
        <f t="shared" ref="BX16:BX25" si="38">RANK(AH16,AH$9:AH$25,)</f>
        <v>3</v>
      </c>
      <c r="BY16" s="7">
        <f t="shared" ref="BY16:BY25" si="39">RANK(AI16,AI$9:AI$25,)</f>
        <v>6</v>
      </c>
      <c r="BZ16" s="7">
        <f t="shared" ref="BZ16:BZ25" si="40">RANK(AJ16,AJ$9:AJ$25,)</f>
        <v>15</v>
      </c>
      <c r="CA16" s="7">
        <f t="shared" ref="CA16:CA25" si="41">RANK(AK16,AK$9:AK$25,)</f>
        <v>4</v>
      </c>
      <c r="CB16" s="7">
        <f t="shared" ref="CB16:CB25" si="42">RANK(AL16,AL$9:AL$25,)</f>
        <v>2</v>
      </c>
      <c r="CC16" s="7">
        <f t="shared" si="6"/>
        <v>1</v>
      </c>
      <c r="CD16" s="7">
        <f t="shared" si="7"/>
        <v>1</v>
      </c>
      <c r="CE16" s="7">
        <f t="shared" si="8"/>
        <v>1</v>
      </c>
      <c r="CF16" s="7">
        <f t="shared" si="9"/>
        <v>1</v>
      </c>
      <c r="CH16" s="21" t="s">
        <v>47</v>
      </c>
      <c r="CI16" s="54" t="s">
        <v>48</v>
      </c>
      <c r="CJ16" s="8">
        <f t="shared" si="3"/>
        <v>56</v>
      </c>
      <c r="CK16" s="8">
        <f t="shared" si="4"/>
        <v>8</v>
      </c>
      <c r="CL16" s="8">
        <f t="shared" si="5"/>
        <v>1950</v>
      </c>
    </row>
    <row r="17" spans="1:90" x14ac:dyDescent="0.2">
      <c r="A17" s="83" t="s">
        <v>169</v>
      </c>
      <c r="B17" s="12">
        <v>9</v>
      </c>
      <c r="C17" s="21" t="s">
        <v>49</v>
      </c>
      <c r="D17" s="54" t="s">
        <v>50</v>
      </c>
      <c r="E17" s="64">
        <v>56</v>
      </c>
      <c r="F17" s="64">
        <v>49</v>
      </c>
      <c r="G17" s="64">
        <v>50</v>
      </c>
      <c r="H17" s="64">
        <v>75</v>
      </c>
      <c r="I17" s="64">
        <v>32</v>
      </c>
      <c r="J17" s="64">
        <v>53</v>
      </c>
      <c r="K17" s="64">
        <v>63</v>
      </c>
      <c r="L17" s="64">
        <v>56</v>
      </c>
      <c r="M17" s="64">
        <v>49</v>
      </c>
      <c r="N17" s="64">
        <v>53</v>
      </c>
      <c r="O17" s="64">
        <v>40</v>
      </c>
      <c r="P17" s="64">
        <v>33</v>
      </c>
      <c r="Q17" s="64">
        <v>30</v>
      </c>
      <c r="R17" s="64">
        <v>57</v>
      </c>
      <c r="S17" s="64">
        <v>46</v>
      </c>
      <c r="T17" s="64">
        <v>76</v>
      </c>
      <c r="U17" s="64">
        <v>64</v>
      </c>
      <c r="V17" s="64">
        <v>42</v>
      </c>
      <c r="W17" s="64">
        <v>57</v>
      </c>
      <c r="X17" s="64">
        <v>43</v>
      </c>
      <c r="Y17" s="64">
        <v>60</v>
      </c>
      <c r="Z17" s="64">
        <v>46</v>
      </c>
      <c r="AA17" s="64">
        <v>31</v>
      </c>
      <c r="AB17" s="64">
        <v>71</v>
      </c>
      <c r="AC17" s="64">
        <v>76</v>
      </c>
      <c r="AD17" s="64">
        <v>70</v>
      </c>
      <c r="AE17" s="64">
        <v>46</v>
      </c>
      <c r="AF17" s="64">
        <v>67</v>
      </c>
      <c r="AG17" s="64">
        <v>69</v>
      </c>
      <c r="AH17" s="64">
        <v>50</v>
      </c>
      <c r="AI17" s="64">
        <v>50</v>
      </c>
      <c r="AJ17" s="64">
        <v>61</v>
      </c>
      <c r="AK17" s="64">
        <v>74</v>
      </c>
      <c r="AL17" s="64">
        <v>22</v>
      </c>
      <c r="AM17" s="64">
        <v>0</v>
      </c>
      <c r="AN17" s="64">
        <v>0</v>
      </c>
      <c r="AO17" s="64">
        <v>0</v>
      </c>
      <c r="AP17" s="64">
        <v>0</v>
      </c>
      <c r="AQ17" s="68">
        <f t="shared" si="1"/>
        <v>1817</v>
      </c>
      <c r="AR17" s="61"/>
      <c r="AS17" s="21" t="s">
        <v>49</v>
      </c>
      <c r="AT17" s="54" t="s">
        <v>50</v>
      </c>
      <c r="AU17" s="7">
        <f t="shared" si="2"/>
        <v>8</v>
      </c>
      <c r="AV17" s="7">
        <f t="shared" si="10"/>
        <v>9</v>
      </c>
      <c r="AW17" s="7">
        <f t="shared" si="11"/>
        <v>6</v>
      </c>
      <c r="AX17" s="7">
        <f t="shared" si="12"/>
        <v>5</v>
      </c>
      <c r="AY17" s="7">
        <f t="shared" si="13"/>
        <v>16</v>
      </c>
      <c r="AZ17" s="7">
        <f t="shared" si="14"/>
        <v>9</v>
      </c>
      <c r="BA17" s="7">
        <f t="shared" si="15"/>
        <v>11</v>
      </c>
      <c r="BB17" s="7">
        <f t="shared" si="16"/>
        <v>13</v>
      </c>
      <c r="BC17" s="7">
        <f t="shared" si="17"/>
        <v>5</v>
      </c>
      <c r="BD17" s="7">
        <f t="shared" si="18"/>
        <v>16</v>
      </c>
      <c r="BE17" s="7">
        <f t="shared" si="19"/>
        <v>8</v>
      </c>
      <c r="BF17" s="7">
        <f t="shared" si="20"/>
        <v>10</v>
      </c>
      <c r="BG17" s="7">
        <f t="shared" si="21"/>
        <v>12</v>
      </c>
      <c r="BH17" s="7">
        <f t="shared" si="22"/>
        <v>12</v>
      </c>
      <c r="BI17" s="7">
        <f t="shared" si="23"/>
        <v>13</v>
      </c>
      <c r="BJ17" s="7">
        <f t="shared" si="24"/>
        <v>5</v>
      </c>
      <c r="BK17" s="7">
        <f t="shared" si="25"/>
        <v>17</v>
      </c>
      <c r="BL17" s="7">
        <f t="shared" si="26"/>
        <v>9</v>
      </c>
      <c r="BM17" s="7">
        <f t="shared" si="27"/>
        <v>1</v>
      </c>
      <c r="BN17" s="7">
        <f t="shared" si="28"/>
        <v>12</v>
      </c>
      <c r="BO17" s="7">
        <f t="shared" si="29"/>
        <v>8</v>
      </c>
      <c r="BP17" s="7">
        <f t="shared" si="30"/>
        <v>2</v>
      </c>
      <c r="BQ17" s="7">
        <f t="shared" si="31"/>
        <v>15</v>
      </c>
      <c r="BR17" s="7">
        <f t="shared" si="32"/>
        <v>2</v>
      </c>
      <c r="BS17" s="7">
        <f t="shared" si="33"/>
        <v>5</v>
      </c>
      <c r="BT17" s="7">
        <f t="shared" si="34"/>
        <v>3</v>
      </c>
      <c r="BU17" s="7">
        <f t="shared" si="35"/>
        <v>4</v>
      </c>
      <c r="BV17" s="7">
        <f t="shared" si="36"/>
        <v>10</v>
      </c>
      <c r="BW17" s="7">
        <f t="shared" si="37"/>
        <v>8</v>
      </c>
      <c r="BX17" s="7">
        <f t="shared" si="38"/>
        <v>8</v>
      </c>
      <c r="BY17" s="7">
        <f t="shared" si="39"/>
        <v>14</v>
      </c>
      <c r="BZ17" s="7">
        <f t="shared" si="40"/>
        <v>7</v>
      </c>
      <c r="CA17" s="7">
        <f t="shared" si="41"/>
        <v>14</v>
      </c>
      <c r="CB17" s="7">
        <f t="shared" si="42"/>
        <v>17</v>
      </c>
      <c r="CC17" s="7">
        <f t="shared" si="6"/>
        <v>1</v>
      </c>
      <c r="CD17" s="7">
        <f t="shared" si="7"/>
        <v>1</v>
      </c>
      <c r="CE17" s="7">
        <f t="shared" si="8"/>
        <v>1</v>
      </c>
      <c r="CF17" s="7">
        <f t="shared" si="9"/>
        <v>1</v>
      </c>
      <c r="CH17" s="21" t="s">
        <v>49</v>
      </c>
      <c r="CI17" s="54" t="s">
        <v>50</v>
      </c>
      <c r="CJ17" s="8">
        <f t="shared" si="3"/>
        <v>56</v>
      </c>
      <c r="CK17" s="8">
        <f t="shared" si="4"/>
        <v>8</v>
      </c>
      <c r="CL17" s="8">
        <f t="shared" si="5"/>
        <v>1817</v>
      </c>
    </row>
    <row r="18" spans="1:90" x14ac:dyDescent="0.2">
      <c r="A18" s="83" t="s">
        <v>170</v>
      </c>
      <c r="B18" s="12">
        <v>10</v>
      </c>
      <c r="C18" s="21" t="s">
        <v>52</v>
      </c>
      <c r="D18" s="54" t="s">
        <v>53</v>
      </c>
      <c r="E18" s="64">
        <v>63</v>
      </c>
      <c r="F18" s="64">
        <v>53</v>
      </c>
      <c r="G18" s="64">
        <v>46</v>
      </c>
      <c r="H18" s="64">
        <v>70</v>
      </c>
      <c r="I18" s="64">
        <v>50</v>
      </c>
      <c r="J18" s="64">
        <v>59</v>
      </c>
      <c r="K18" s="64">
        <v>77</v>
      </c>
      <c r="L18" s="64">
        <v>58</v>
      </c>
      <c r="M18" s="64">
        <v>57</v>
      </c>
      <c r="N18" s="64">
        <v>89</v>
      </c>
      <c r="O18" s="64">
        <v>39</v>
      </c>
      <c r="P18" s="64">
        <v>71</v>
      </c>
      <c r="Q18" s="64">
        <v>17</v>
      </c>
      <c r="R18" s="64">
        <v>47</v>
      </c>
      <c r="S18" s="64">
        <v>61</v>
      </c>
      <c r="T18" s="64">
        <v>67</v>
      </c>
      <c r="U18" s="64">
        <v>82</v>
      </c>
      <c r="V18" s="64">
        <v>45</v>
      </c>
      <c r="W18" s="64">
        <v>49</v>
      </c>
      <c r="X18" s="64">
        <v>67</v>
      </c>
      <c r="Y18" s="64">
        <v>51</v>
      </c>
      <c r="Z18" s="64">
        <v>34</v>
      </c>
      <c r="AA18" s="64">
        <v>42</v>
      </c>
      <c r="AB18" s="64">
        <v>52</v>
      </c>
      <c r="AC18" s="64">
        <v>72</v>
      </c>
      <c r="AD18" s="64">
        <v>66</v>
      </c>
      <c r="AE18" s="64">
        <v>38</v>
      </c>
      <c r="AF18" s="64">
        <v>64</v>
      </c>
      <c r="AG18" s="64">
        <v>68</v>
      </c>
      <c r="AH18" s="64">
        <v>61</v>
      </c>
      <c r="AI18" s="64">
        <v>55</v>
      </c>
      <c r="AJ18" s="64">
        <v>50</v>
      </c>
      <c r="AK18" s="64">
        <v>91</v>
      </c>
      <c r="AL18" s="64">
        <v>58</v>
      </c>
      <c r="AM18" s="64">
        <v>0</v>
      </c>
      <c r="AN18" s="64">
        <v>0</v>
      </c>
      <c r="AO18" s="64">
        <v>0</v>
      </c>
      <c r="AP18" s="64">
        <v>0</v>
      </c>
      <c r="AQ18" s="68">
        <f t="shared" si="1"/>
        <v>1969</v>
      </c>
      <c r="AR18" s="61"/>
      <c r="AS18" s="21" t="s">
        <v>52</v>
      </c>
      <c r="AT18" s="54" t="s">
        <v>53</v>
      </c>
      <c r="AU18" s="7">
        <f t="shared" si="2"/>
        <v>4</v>
      </c>
      <c r="AV18" s="7">
        <f t="shared" si="10"/>
        <v>5</v>
      </c>
      <c r="AW18" s="7">
        <f t="shared" si="11"/>
        <v>9</v>
      </c>
      <c r="AX18" s="7">
        <f t="shared" si="12"/>
        <v>8</v>
      </c>
      <c r="AY18" s="7">
        <f t="shared" si="13"/>
        <v>9</v>
      </c>
      <c r="AZ18" s="7">
        <f t="shared" si="14"/>
        <v>5</v>
      </c>
      <c r="BA18" s="7">
        <f t="shared" si="15"/>
        <v>5</v>
      </c>
      <c r="BB18" s="7">
        <f t="shared" si="16"/>
        <v>9</v>
      </c>
      <c r="BC18" s="7">
        <f t="shared" si="17"/>
        <v>1</v>
      </c>
      <c r="BD18" s="7">
        <f t="shared" si="18"/>
        <v>1</v>
      </c>
      <c r="BE18" s="7">
        <f t="shared" si="19"/>
        <v>9</v>
      </c>
      <c r="BF18" s="7">
        <f t="shared" si="20"/>
        <v>1</v>
      </c>
      <c r="BG18" s="7">
        <f t="shared" si="21"/>
        <v>17</v>
      </c>
      <c r="BH18" s="7">
        <f t="shared" si="22"/>
        <v>17</v>
      </c>
      <c r="BI18" s="7">
        <f t="shared" si="23"/>
        <v>4</v>
      </c>
      <c r="BJ18" s="7">
        <f t="shared" si="24"/>
        <v>10</v>
      </c>
      <c r="BK18" s="7">
        <f t="shared" si="25"/>
        <v>4</v>
      </c>
      <c r="BL18" s="7">
        <f t="shared" si="26"/>
        <v>5</v>
      </c>
      <c r="BM18" s="7">
        <f t="shared" si="27"/>
        <v>3</v>
      </c>
      <c r="BN18" s="7">
        <f t="shared" si="28"/>
        <v>1</v>
      </c>
      <c r="BO18" s="7">
        <f t="shared" si="29"/>
        <v>14</v>
      </c>
      <c r="BP18" s="7">
        <f t="shared" si="30"/>
        <v>11</v>
      </c>
      <c r="BQ18" s="7">
        <f t="shared" si="31"/>
        <v>10</v>
      </c>
      <c r="BR18" s="7">
        <f t="shared" si="32"/>
        <v>10</v>
      </c>
      <c r="BS18" s="7">
        <f t="shared" si="33"/>
        <v>8</v>
      </c>
      <c r="BT18" s="7">
        <f t="shared" si="34"/>
        <v>5</v>
      </c>
      <c r="BU18" s="7">
        <f t="shared" si="35"/>
        <v>13</v>
      </c>
      <c r="BV18" s="7">
        <f t="shared" si="36"/>
        <v>13</v>
      </c>
      <c r="BW18" s="7">
        <f t="shared" si="37"/>
        <v>9</v>
      </c>
      <c r="BX18" s="7">
        <f t="shared" si="38"/>
        <v>3</v>
      </c>
      <c r="BY18" s="7">
        <f t="shared" si="39"/>
        <v>6</v>
      </c>
      <c r="BZ18" s="7">
        <f t="shared" si="40"/>
        <v>13</v>
      </c>
      <c r="CA18" s="7">
        <f t="shared" si="41"/>
        <v>7</v>
      </c>
      <c r="CB18" s="7">
        <f t="shared" si="42"/>
        <v>6</v>
      </c>
      <c r="CC18" s="7">
        <f t="shared" si="6"/>
        <v>1</v>
      </c>
      <c r="CD18" s="7">
        <f t="shared" si="7"/>
        <v>1</v>
      </c>
      <c r="CE18" s="7">
        <f t="shared" si="8"/>
        <v>1</v>
      </c>
      <c r="CF18" s="7">
        <f t="shared" si="9"/>
        <v>1</v>
      </c>
      <c r="CH18" s="21" t="s">
        <v>52</v>
      </c>
      <c r="CI18" s="54" t="s">
        <v>53</v>
      </c>
      <c r="CJ18" s="8">
        <f t="shared" si="3"/>
        <v>63</v>
      </c>
      <c r="CK18" s="8">
        <f t="shared" si="4"/>
        <v>4</v>
      </c>
      <c r="CL18" s="8">
        <f t="shared" si="5"/>
        <v>1969</v>
      </c>
    </row>
    <row r="19" spans="1:90" x14ac:dyDescent="0.2">
      <c r="A19" s="83" t="s">
        <v>171</v>
      </c>
      <c r="B19" s="12">
        <v>11</v>
      </c>
      <c r="C19" s="21" t="s">
        <v>55</v>
      </c>
      <c r="D19" s="54" t="s">
        <v>56</v>
      </c>
      <c r="E19" s="64">
        <v>50</v>
      </c>
      <c r="F19" s="64">
        <v>64</v>
      </c>
      <c r="G19" s="64">
        <v>36</v>
      </c>
      <c r="H19" s="64">
        <v>65</v>
      </c>
      <c r="I19" s="64">
        <v>34</v>
      </c>
      <c r="J19" s="64">
        <v>46</v>
      </c>
      <c r="K19" s="64">
        <v>67</v>
      </c>
      <c r="L19" s="64">
        <v>58</v>
      </c>
      <c r="M19" s="64">
        <v>46</v>
      </c>
      <c r="N19" s="64">
        <v>67</v>
      </c>
      <c r="O19" s="64">
        <v>25</v>
      </c>
      <c r="P19" s="64">
        <v>29</v>
      </c>
      <c r="Q19" s="64">
        <v>34</v>
      </c>
      <c r="R19" s="64">
        <v>70</v>
      </c>
      <c r="S19" s="64">
        <v>39</v>
      </c>
      <c r="T19" s="64">
        <v>73</v>
      </c>
      <c r="U19" s="64">
        <v>80</v>
      </c>
      <c r="V19" s="64">
        <v>31</v>
      </c>
      <c r="W19" s="64">
        <v>33</v>
      </c>
      <c r="X19" s="64">
        <v>33</v>
      </c>
      <c r="Y19" s="64">
        <v>69</v>
      </c>
      <c r="Z19" s="64">
        <v>41</v>
      </c>
      <c r="AA19" s="64">
        <v>33</v>
      </c>
      <c r="AB19" s="64">
        <v>45</v>
      </c>
      <c r="AC19" s="64">
        <v>65</v>
      </c>
      <c r="AD19" s="64">
        <v>74</v>
      </c>
      <c r="AE19" s="64">
        <v>44</v>
      </c>
      <c r="AF19" s="64">
        <v>70</v>
      </c>
      <c r="AG19" s="64">
        <v>53</v>
      </c>
      <c r="AH19" s="64">
        <v>76</v>
      </c>
      <c r="AI19" s="64">
        <v>53</v>
      </c>
      <c r="AJ19" s="64">
        <v>66</v>
      </c>
      <c r="AK19" s="64">
        <v>67</v>
      </c>
      <c r="AL19" s="64">
        <v>55</v>
      </c>
      <c r="AM19" s="64">
        <v>0</v>
      </c>
      <c r="AN19" s="64">
        <v>0</v>
      </c>
      <c r="AO19" s="64">
        <v>0</v>
      </c>
      <c r="AP19" s="64">
        <v>0</v>
      </c>
      <c r="AQ19" s="68">
        <f t="shared" si="1"/>
        <v>1791</v>
      </c>
      <c r="AR19" s="61"/>
      <c r="AS19" s="21" t="s">
        <v>55</v>
      </c>
      <c r="AT19" s="54" t="s">
        <v>56</v>
      </c>
      <c r="AU19" s="7">
        <f t="shared" si="2"/>
        <v>13</v>
      </c>
      <c r="AV19" s="7">
        <f t="shared" si="10"/>
        <v>1</v>
      </c>
      <c r="AW19" s="7">
        <f t="shared" si="11"/>
        <v>15</v>
      </c>
      <c r="AX19" s="7">
        <f t="shared" si="12"/>
        <v>11</v>
      </c>
      <c r="AY19" s="7">
        <f t="shared" si="13"/>
        <v>15</v>
      </c>
      <c r="AZ19" s="7">
        <f t="shared" si="14"/>
        <v>11</v>
      </c>
      <c r="BA19" s="7">
        <f t="shared" si="15"/>
        <v>7</v>
      </c>
      <c r="BB19" s="7">
        <f t="shared" si="16"/>
        <v>9</v>
      </c>
      <c r="BC19" s="7">
        <f t="shared" si="17"/>
        <v>6</v>
      </c>
      <c r="BD19" s="7">
        <f t="shared" si="18"/>
        <v>9</v>
      </c>
      <c r="BE19" s="7">
        <f t="shared" si="19"/>
        <v>17</v>
      </c>
      <c r="BF19" s="7">
        <f t="shared" si="20"/>
        <v>13</v>
      </c>
      <c r="BG19" s="7">
        <f t="shared" si="21"/>
        <v>10</v>
      </c>
      <c r="BH19" s="7">
        <f t="shared" si="22"/>
        <v>7</v>
      </c>
      <c r="BI19" s="7">
        <f t="shared" si="23"/>
        <v>17</v>
      </c>
      <c r="BJ19" s="7">
        <f t="shared" si="24"/>
        <v>8</v>
      </c>
      <c r="BK19" s="7">
        <f t="shared" si="25"/>
        <v>5</v>
      </c>
      <c r="BL19" s="7">
        <f t="shared" si="26"/>
        <v>16</v>
      </c>
      <c r="BM19" s="7">
        <f t="shared" si="27"/>
        <v>12</v>
      </c>
      <c r="BN19" s="7">
        <f t="shared" si="28"/>
        <v>17</v>
      </c>
      <c r="BO19" s="7">
        <f t="shared" si="29"/>
        <v>2</v>
      </c>
      <c r="BP19" s="7">
        <f t="shared" si="30"/>
        <v>4</v>
      </c>
      <c r="BQ19" s="7">
        <f t="shared" si="31"/>
        <v>14</v>
      </c>
      <c r="BR19" s="7">
        <f t="shared" si="32"/>
        <v>13</v>
      </c>
      <c r="BS19" s="7">
        <f t="shared" si="33"/>
        <v>13</v>
      </c>
      <c r="BT19" s="7">
        <f t="shared" si="34"/>
        <v>1</v>
      </c>
      <c r="BU19" s="7">
        <f t="shared" si="35"/>
        <v>6</v>
      </c>
      <c r="BV19" s="7">
        <f t="shared" si="36"/>
        <v>9</v>
      </c>
      <c r="BW19" s="7">
        <f t="shared" si="37"/>
        <v>14</v>
      </c>
      <c r="BX19" s="7">
        <f t="shared" si="38"/>
        <v>2</v>
      </c>
      <c r="BY19" s="7">
        <f t="shared" si="39"/>
        <v>10</v>
      </c>
      <c r="BZ19" s="7">
        <f t="shared" si="40"/>
        <v>2</v>
      </c>
      <c r="CA19" s="7">
        <f t="shared" si="41"/>
        <v>15</v>
      </c>
      <c r="CB19" s="7">
        <f t="shared" si="42"/>
        <v>9</v>
      </c>
      <c r="CC19" s="7">
        <f t="shared" si="6"/>
        <v>1</v>
      </c>
      <c r="CD19" s="7">
        <f t="shared" si="7"/>
        <v>1</v>
      </c>
      <c r="CE19" s="7">
        <f t="shared" si="8"/>
        <v>1</v>
      </c>
      <c r="CF19" s="7">
        <f t="shared" si="9"/>
        <v>1</v>
      </c>
      <c r="CH19" s="21" t="s">
        <v>55</v>
      </c>
      <c r="CI19" s="54" t="s">
        <v>56</v>
      </c>
      <c r="CJ19" s="8">
        <f t="shared" si="3"/>
        <v>50</v>
      </c>
      <c r="CK19" s="8">
        <f t="shared" si="4"/>
        <v>13</v>
      </c>
      <c r="CL19" s="8">
        <f t="shared" si="5"/>
        <v>1791</v>
      </c>
    </row>
    <row r="20" spans="1:90" x14ac:dyDescent="0.2">
      <c r="A20" s="83" t="s">
        <v>172</v>
      </c>
      <c r="B20" s="12">
        <v>12</v>
      </c>
      <c r="C20" s="21" t="s">
        <v>57</v>
      </c>
      <c r="D20" s="54" t="s">
        <v>58</v>
      </c>
      <c r="E20" s="64">
        <v>52</v>
      </c>
      <c r="F20" s="64">
        <v>38</v>
      </c>
      <c r="G20" s="64">
        <v>35</v>
      </c>
      <c r="H20" s="64">
        <v>64</v>
      </c>
      <c r="I20" s="64">
        <v>55</v>
      </c>
      <c r="J20" s="64">
        <v>53</v>
      </c>
      <c r="K20" s="64">
        <v>62</v>
      </c>
      <c r="L20" s="64">
        <v>51</v>
      </c>
      <c r="M20" s="64">
        <v>29</v>
      </c>
      <c r="N20" s="64">
        <v>58</v>
      </c>
      <c r="O20" s="64">
        <v>29</v>
      </c>
      <c r="P20" s="64">
        <v>45</v>
      </c>
      <c r="Q20" s="64">
        <v>59</v>
      </c>
      <c r="R20" s="64">
        <v>55</v>
      </c>
      <c r="S20" s="64">
        <v>53</v>
      </c>
      <c r="T20" s="64">
        <v>76</v>
      </c>
      <c r="U20" s="64">
        <v>79</v>
      </c>
      <c r="V20" s="64">
        <v>55</v>
      </c>
      <c r="W20" s="64">
        <v>39</v>
      </c>
      <c r="X20" s="64">
        <v>42</v>
      </c>
      <c r="Y20" s="64">
        <v>64</v>
      </c>
      <c r="Z20" s="64">
        <v>31</v>
      </c>
      <c r="AA20" s="64">
        <v>57</v>
      </c>
      <c r="AB20" s="64">
        <v>45</v>
      </c>
      <c r="AC20" s="64">
        <v>80</v>
      </c>
      <c r="AD20" s="64">
        <v>45</v>
      </c>
      <c r="AE20" s="64">
        <v>37</v>
      </c>
      <c r="AF20" s="64">
        <v>62</v>
      </c>
      <c r="AG20" s="64">
        <v>74</v>
      </c>
      <c r="AH20" s="64">
        <v>46</v>
      </c>
      <c r="AI20" s="64">
        <v>51</v>
      </c>
      <c r="AJ20" s="64">
        <v>66</v>
      </c>
      <c r="AK20" s="64">
        <v>80</v>
      </c>
      <c r="AL20" s="64">
        <v>52</v>
      </c>
      <c r="AM20" s="64">
        <v>0</v>
      </c>
      <c r="AN20" s="64">
        <v>0</v>
      </c>
      <c r="AO20" s="64">
        <v>0</v>
      </c>
      <c r="AP20" s="64">
        <v>0</v>
      </c>
      <c r="AQ20" s="68">
        <f t="shared" si="1"/>
        <v>1819</v>
      </c>
      <c r="AR20" s="61"/>
      <c r="AS20" s="21" t="s">
        <v>57</v>
      </c>
      <c r="AT20" s="54" t="s">
        <v>58</v>
      </c>
      <c r="AU20" s="7">
        <f t="shared" si="2"/>
        <v>12</v>
      </c>
      <c r="AV20" s="7">
        <f t="shared" si="10"/>
        <v>15</v>
      </c>
      <c r="AW20" s="7">
        <f t="shared" si="11"/>
        <v>16</v>
      </c>
      <c r="AX20" s="7">
        <f t="shared" si="12"/>
        <v>12</v>
      </c>
      <c r="AY20" s="7">
        <f t="shared" si="13"/>
        <v>4</v>
      </c>
      <c r="AZ20" s="7">
        <f t="shared" si="14"/>
        <v>9</v>
      </c>
      <c r="BA20" s="7">
        <f t="shared" si="15"/>
        <v>12</v>
      </c>
      <c r="BB20" s="7">
        <f t="shared" si="16"/>
        <v>16</v>
      </c>
      <c r="BC20" s="7">
        <f t="shared" si="17"/>
        <v>17</v>
      </c>
      <c r="BD20" s="7">
        <f t="shared" si="18"/>
        <v>13</v>
      </c>
      <c r="BE20" s="7">
        <f t="shared" si="19"/>
        <v>14</v>
      </c>
      <c r="BF20" s="7">
        <f t="shared" si="20"/>
        <v>3</v>
      </c>
      <c r="BG20" s="7">
        <f t="shared" si="21"/>
        <v>3</v>
      </c>
      <c r="BH20" s="7">
        <f t="shared" si="22"/>
        <v>14</v>
      </c>
      <c r="BI20" s="7">
        <f t="shared" si="23"/>
        <v>9</v>
      </c>
      <c r="BJ20" s="7">
        <f t="shared" si="24"/>
        <v>5</v>
      </c>
      <c r="BK20" s="7">
        <f t="shared" si="25"/>
        <v>8</v>
      </c>
      <c r="BL20" s="7">
        <f t="shared" si="26"/>
        <v>1</v>
      </c>
      <c r="BM20" s="7">
        <f t="shared" si="27"/>
        <v>6</v>
      </c>
      <c r="BN20" s="7">
        <f t="shared" si="28"/>
        <v>14</v>
      </c>
      <c r="BO20" s="7">
        <f t="shared" si="29"/>
        <v>4</v>
      </c>
      <c r="BP20" s="7">
        <f t="shared" si="30"/>
        <v>14</v>
      </c>
      <c r="BQ20" s="7">
        <f t="shared" si="31"/>
        <v>1</v>
      </c>
      <c r="BR20" s="7">
        <f t="shared" si="32"/>
        <v>13</v>
      </c>
      <c r="BS20" s="7">
        <f t="shared" si="33"/>
        <v>3</v>
      </c>
      <c r="BT20" s="7">
        <f t="shared" si="34"/>
        <v>16</v>
      </c>
      <c r="BU20" s="7">
        <f t="shared" si="35"/>
        <v>14</v>
      </c>
      <c r="BV20" s="7">
        <f t="shared" si="36"/>
        <v>14</v>
      </c>
      <c r="BW20" s="7">
        <f t="shared" si="37"/>
        <v>5</v>
      </c>
      <c r="BX20" s="7">
        <f t="shared" si="38"/>
        <v>14</v>
      </c>
      <c r="BY20" s="7">
        <f t="shared" si="39"/>
        <v>12</v>
      </c>
      <c r="BZ20" s="7">
        <f t="shared" si="40"/>
        <v>2</v>
      </c>
      <c r="CA20" s="7">
        <f t="shared" si="41"/>
        <v>12</v>
      </c>
      <c r="CB20" s="7">
        <f t="shared" si="42"/>
        <v>10</v>
      </c>
      <c r="CC20" s="7">
        <f t="shared" si="6"/>
        <v>1</v>
      </c>
      <c r="CD20" s="7">
        <f t="shared" si="7"/>
        <v>1</v>
      </c>
      <c r="CE20" s="7">
        <f t="shared" si="8"/>
        <v>1</v>
      </c>
      <c r="CF20" s="7">
        <f t="shared" si="9"/>
        <v>1</v>
      </c>
      <c r="CH20" s="21" t="s">
        <v>57</v>
      </c>
      <c r="CI20" s="54" t="s">
        <v>58</v>
      </c>
      <c r="CJ20" s="8">
        <f t="shared" si="3"/>
        <v>52</v>
      </c>
      <c r="CK20" s="8">
        <f t="shared" si="4"/>
        <v>12</v>
      </c>
      <c r="CL20" s="8">
        <f t="shared" si="5"/>
        <v>1819</v>
      </c>
    </row>
    <row r="21" spans="1:90" x14ac:dyDescent="0.2">
      <c r="A21" s="83" t="s">
        <v>173</v>
      </c>
      <c r="B21" s="12">
        <v>13</v>
      </c>
      <c r="C21" s="21" t="s">
        <v>59</v>
      </c>
      <c r="D21" s="54" t="s">
        <v>60</v>
      </c>
      <c r="E21" s="64">
        <v>63</v>
      </c>
      <c r="F21" s="64">
        <v>52</v>
      </c>
      <c r="G21" s="64">
        <v>43</v>
      </c>
      <c r="H21" s="64">
        <v>79</v>
      </c>
      <c r="I21" s="64">
        <v>52</v>
      </c>
      <c r="J21" s="64">
        <v>70</v>
      </c>
      <c r="K21" s="64">
        <v>69</v>
      </c>
      <c r="L21" s="64">
        <v>66</v>
      </c>
      <c r="M21" s="64">
        <v>42</v>
      </c>
      <c r="N21" s="64">
        <v>71</v>
      </c>
      <c r="O21" s="64">
        <v>45</v>
      </c>
      <c r="P21" s="64">
        <v>31</v>
      </c>
      <c r="Q21" s="64">
        <v>74</v>
      </c>
      <c r="R21" s="64">
        <v>55</v>
      </c>
      <c r="S21" s="64">
        <v>68</v>
      </c>
      <c r="T21" s="64">
        <v>91</v>
      </c>
      <c r="U21" s="64">
        <v>90</v>
      </c>
      <c r="V21" s="64">
        <v>52</v>
      </c>
      <c r="W21" s="64">
        <v>39</v>
      </c>
      <c r="X21" s="64">
        <v>43</v>
      </c>
      <c r="Y21" s="64">
        <v>61</v>
      </c>
      <c r="Z21" s="64">
        <v>35</v>
      </c>
      <c r="AA21" s="64">
        <v>35</v>
      </c>
      <c r="AB21" s="64">
        <v>65</v>
      </c>
      <c r="AC21" s="64">
        <v>69</v>
      </c>
      <c r="AD21" s="64">
        <v>56</v>
      </c>
      <c r="AE21" s="64">
        <v>46</v>
      </c>
      <c r="AF21" s="64">
        <v>75</v>
      </c>
      <c r="AG21" s="64">
        <v>63</v>
      </c>
      <c r="AH21" s="64">
        <v>78</v>
      </c>
      <c r="AI21" s="64">
        <v>54</v>
      </c>
      <c r="AJ21" s="64">
        <v>58</v>
      </c>
      <c r="AK21" s="64">
        <v>134</v>
      </c>
      <c r="AL21" s="64">
        <v>60</v>
      </c>
      <c r="AM21" s="64">
        <v>0</v>
      </c>
      <c r="AN21" s="64">
        <v>0</v>
      </c>
      <c r="AO21" s="64">
        <v>0</v>
      </c>
      <c r="AP21" s="64">
        <v>0</v>
      </c>
      <c r="AQ21" s="68">
        <f t="shared" si="1"/>
        <v>2084</v>
      </c>
      <c r="AR21" s="61"/>
      <c r="AS21" s="21" t="s">
        <v>59</v>
      </c>
      <c r="AT21" s="54" t="s">
        <v>60</v>
      </c>
      <c r="AU21" s="7">
        <f t="shared" si="2"/>
        <v>4</v>
      </c>
      <c r="AV21" s="7">
        <f t="shared" si="10"/>
        <v>7</v>
      </c>
      <c r="AW21" s="7">
        <f t="shared" si="11"/>
        <v>13</v>
      </c>
      <c r="AX21" s="7">
        <f t="shared" si="12"/>
        <v>2</v>
      </c>
      <c r="AY21" s="7">
        <f t="shared" si="13"/>
        <v>6</v>
      </c>
      <c r="AZ21" s="7">
        <f t="shared" si="14"/>
        <v>2</v>
      </c>
      <c r="BA21" s="7">
        <f t="shared" si="15"/>
        <v>6</v>
      </c>
      <c r="BB21" s="7">
        <f t="shared" si="16"/>
        <v>4</v>
      </c>
      <c r="BC21" s="7">
        <f t="shared" si="17"/>
        <v>11</v>
      </c>
      <c r="BD21" s="7">
        <f t="shared" si="18"/>
        <v>6</v>
      </c>
      <c r="BE21" s="7">
        <f t="shared" si="19"/>
        <v>3</v>
      </c>
      <c r="BF21" s="7">
        <f t="shared" si="20"/>
        <v>11</v>
      </c>
      <c r="BG21" s="7">
        <f t="shared" si="21"/>
        <v>1</v>
      </c>
      <c r="BH21" s="7">
        <f t="shared" si="22"/>
        <v>14</v>
      </c>
      <c r="BI21" s="7">
        <f t="shared" si="23"/>
        <v>2</v>
      </c>
      <c r="BJ21" s="7">
        <f t="shared" si="24"/>
        <v>2</v>
      </c>
      <c r="BK21" s="7">
        <f t="shared" si="25"/>
        <v>3</v>
      </c>
      <c r="BL21" s="7">
        <f t="shared" si="26"/>
        <v>3</v>
      </c>
      <c r="BM21" s="7">
        <f t="shared" si="27"/>
        <v>6</v>
      </c>
      <c r="BN21" s="7">
        <f t="shared" si="28"/>
        <v>12</v>
      </c>
      <c r="BO21" s="7">
        <f t="shared" si="29"/>
        <v>7</v>
      </c>
      <c r="BP21" s="7">
        <f t="shared" si="30"/>
        <v>9</v>
      </c>
      <c r="BQ21" s="7">
        <f t="shared" si="31"/>
        <v>13</v>
      </c>
      <c r="BR21" s="7">
        <f t="shared" si="32"/>
        <v>4</v>
      </c>
      <c r="BS21" s="7">
        <f t="shared" si="33"/>
        <v>9</v>
      </c>
      <c r="BT21" s="7">
        <f t="shared" si="34"/>
        <v>8</v>
      </c>
      <c r="BU21" s="7">
        <f t="shared" si="35"/>
        <v>4</v>
      </c>
      <c r="BV21" s="7">
        <f t="shared" si="36"/>
        <v>7</v>
      </c>
      <c r="BW21" s="7">
        <f t="shared" si="37"/>
        <v>11</v>
      </c>
      <c r="BX21" s="7">
        <f t="shared" si="38"/>
        <v>1</v>
      </c>
      <c r="BY21" s="7">
        <f t="shared" si="39"/>
        <v>9</v>
      </c>
      <c r="BZ21" s="7">
        <f t="shared" si="40"/>
        <v>9</v>
      </c>
      <c r="CA21" s="7">
        <f t="shared" si="41"/>
        <v>1</v>
      </c>
      <c r="CB21" s="7">
        <f t="shared" si="42"/>
        <v>5</v>
      </c>
      <c r="CC21" s="7">
        <f t="shared" si="6"/>
        <v>1</v>
      </c>
      <c r="CD21" s="7">
        <f t="shared" si="7"/>
        <v>1</v>
      </c>
      <c r="CE21" s="7">
        <f t="shared" si="8"/>
        <v>1</v>
      </c>
      <c r="CF21" s="7">
        <f t="shared" si="9"/>
        <v>1</v>
      </c>
      <c r="CH21" s="21" t="s">
        <v>59</v>
      </c>
      <c r="CI21" s="54" t="s">
        <v>60</v>
      </c>
      <c r="CJ21" s="8">
        <f t="shared" si="3"/>
        <v>63</v>
      </c>
      <c r="CK21" s="8">
        <f t="shared" si="4"/>
        <v>4</v>
      </c>
      <c r="CL21" s="8">
        <f t="shared" si="5"/>
        <v>2084</v>
      </c>
    </row>
    <row r="22" spans="1:90" x14ac:dyDescent="0.2">
      <c r="A22" s="83" t="s">
        <v>174</v>
      </c>
      <c r="B22" s="12">
        <v>14</v>
      </c>
      <c r="C22" s="21" t="s">
        <v>61</v>
      </c>
      <c r="D22" s="54" t="s">
        <v>62</v>
      </c>
      <c r="E22" s="64">
        <v>34</v>
      </c>
      <c r="F22" s="64">
        <v>35</v>
      </c>
      <c r="G22" s="64">
        <v>54</v>
      </c>
      <c r="H22" s="64">
        <v>47</v>
      </c>
      <c r="I22" s="64">
        <v>46</v>
      </c>
      <c r="J22" s="64">
        <v>56</v>
      </c>
      <c r="K22" s="64">
        <v>60</v>
      </c>
      <c r="L22" s="64">
        <v>62</v>
      </c>
      <c r="M22" s="64">
        <v>44</v>
      </c>
      <c r="N22" s="64">
        <v>87</v>
      </c>
      <c r="O22" s="64">
        <v>43</v>
      </c>
      <c r="P22" s="64">
        <v>28</v>
      </c>
      <c r="Q22" s="64">
        <v>28</v>
      </c>
      <c r="R22" s="64">
        <v>62</v>
      </c>
      <c r="S22" s="64">
        <v>40</v>
      </c>
      <c r="T22" s="64">
        <v>57</v>
      </c>
      <c r="U22" s="64">
        <v>72</v>
      </c>
      <c r="V22" s="64">
        <v>53</v>
      </c>
      <c r="W22" s="64">
        <v>50</v>
      </c>
      <c r="X22" s="64">
        <v>52</v>
      </c>
      <c r="Y22" s="64">
        <v>60</v>
      </c>
      <c r="Z22" s="64">
        <v>30</v>
      </c>
      <c r="AA22" s="64">
        <v>37</v>
      </c>
      <c r="AB22" s="64">
        <v>36</v>
      </c>
      <c r="AC22" s="64">
        <v>88</v>
      </c>
      <c r="AD22" s="64">
        <v>55</v>
      </c>
      <c r="AE22" s="64">
        <v>42</v>
      </c>
      <c r="AF22" s="64">
        <v>49</v>
      </c>
      <c r="AG22" s="64">
        <v>48</v>
      </c>
      <c r="AH22" s="64">
        <v>39</v>
      </c>
      <c r="AI22" s="64">
        <v>68</v>
      </c>
      <c r="AJ22" s="64">
        <v>78</v>
      </c>
      <c r="AK22" s="64">
        <v>64</v>
      </c>
      <c r="AL22" s="64">
        <v>38</v>
      </c>
      <c r="AM22" s="64">
        <v>0</v>
      </c>
      <c r="AN22" s="64">
        <v>0</v>
      </c>
      <c r="AO22" s="64">
        <v>0</v>
      </c>
      <c r="AP22" s="64">
        <v>0</v>
      </c>
      <c r="AQ22" s="68">
        <f t="shared" si="1"/>
        <v>1742</v>
      </c>
      <c r="AR22" s="61"/>
      <c r="AS22" s="21" t="s">
        <v>61</v>
      </c>
      <c r="AT22" s="54" t="s">
        <v>62</v>
      </c>
      <c r="AU22" s="7">
        <f t="shared" si="2"/>
        <v>17</v>
      </c>
      <c r="AV22" s="7">
        <f t="shared" si="10"/>
        <v>17</v>
      </c>
      <c r="AW22" s="7">
        <f t="shared" si="11"/>
        <v>4</v>
      </c>
      <c r="AX22" s="7">
        <f t="shared" si="12"/>
        <v>17</v>
      </c>
      <c r="AY22" s="7">
        <f t="shared" si="13"/>
        <v>11</v>
      </c>
      <c r="AZ22" s="7">
        <f t="shared" si="14"/>
        <v>8</v>
      </c>
      <c r="BA22" s="7">
        <f t="shared" si="15"/>
        <v>13</v>
      </c>
      <c r="BB22" s="7">
        <f t="shared" si="16"/>
        <v>5</v>
      </c>
      <c r="BC22" s="7">
        <f t="shared" si="17"/>
        <v>8</v>
      </c>
      <c r="BD22" s="7">
        <f t="shared" si="18"/>
        <v>2</v>
      </c>
      <c r="BE22" s="7">
        <f t="shared" si="19"/>
        <v>5</v>
      </c>
      <c r="BF22" s="7">
        <f t="shared" si="20"/>
        <v>15</v>
      </c>
      <c r="BG22" s="7">
        <f t="shared" si="21"/>
        <v>14</v>
      </c>
      <c r="BH22" s="7">
        <f t="shared" si="22"/>
        <v>11</v>
      </c>
      <c r="BI22" s="7">
        <f t="shared" si="23"/>
        <v>16</v>
      </c>
      <c r="BJ22" s="7">
        <f t="shared" si="24"/>
        <v>16</v>
      </c>
      <c r="BK22" s="7">
        <f t="shared" si="25"/>
        <v>13</v>
      </c>
      <c r="BL22" s="7">
        <f t="shared" si="26"/>
        <v>2</v>
      </c>
      <c r="BM22" s="7">
        <f t="shared" si="27"/>
        <v>2</v>
      </c>
      <c r="BN22" s="7">
        <f t="shared" si="28"/>
        <v>7</v>
      </c>
      <c r="BO22" s="7">
        <f t="shared" si="29"/>
        <v>8</v>
      </c>
      <c r="BP22" s="7">
        <f t="shared" si="30"/>
        <v>16</v>
      </c>
      <c r="BQ22" s="7">
        <f t="shared" si="31"/>
        <v>12</v>
      </c>
      <c r="BR22" s="7">
        <f t="shared" si="32"/>
        <v>17</v>
      </c>
      <c r="BS22" s="7">
        <f t="shared" si="33"/>
        <v>2</v>
      </c>
      <c r="BT22" s="7">
        <f t="shared" si="34"/>
        <v>9</v>
      </c>
      <c r="BU22" s="7">
        <f t="shared" si="35"/>
        <v>8</v>
      </c>
      <c r="BV22" s="7">
        <f t="shared" si="36"/>
        <v>17</v>
      </c>
      <c r="BW22" s="7">
        <f t="shared" si="37"/>
        <v>17</v>
      </c>
      <c r="BX22" s="7">
        <f t="shared" si="38"/>
        <v>16</v>
      </c>
      <c r="BY22" s="7">
        <f t="shared" si="39"/>
        <v>1</v>
      </c>
      <c r="BZ22" s="7">
        <f t="shared" si="40"/>
        <v>1</v>
      </c>
      <c r="CA22" s="7">
        <f t="shared" si="41"/>
        <v>16</v>
      </c>
      <c r="CB22" s="7">
        <f t="shared" si="42"/>
        <v>15</v>
      </c>
      <c r="CC22" s="7">
        <f t="shared" si="6"/>
        <v>1</v>
      </c>
      <c r="CD22" s="7">
        <f t="shared" si="7"/>
        <v>1</v>
      </c>
      <c r="CE22" s="7">
        <f t="shared" si="8"/>
        <v>1</v>
      </c>
      <c r="CF22" s="7">
        <f t="shared" si="9"/>
        <v>1</v>
      </c>
      <c r="CH22" s="21" t="s">
        <v>61</v>
      </c>
      <c r="CI22" s="54" t="s">
        <v>62</v>
      </c>
      <c r="CJ22" s="8">
        <f t="shared" si="3"/>
        <v>34</v>
      </c>
      <c r="CK22" s="8">
        <f t="shared" si="4"/>
        <v>17</v>
      </c>
      <c r="CL22" s="8">
        <f t="shared" si="5"/>
        <v>1742</v>
      </c>
    </row>
    <row r="23" spans="1:90" x14ac:dyDescent="0.2">
      <c r="A23" s="83" t="s">
        <v>175</v>
      </c>
      <c r="B23" s="12">
        <v>15</v>
      </c>
      <c r="C23" s="21" t="s">
        <v>63</v>
      </c>
      <c r="D23" s="54" t="s">
        <v>64</v>
      </c>
      <c r="E23" s="64">
        <v>68</v>
      </c>
      <c r="F23" s="64">
        <v>48</v>
      </c>
      <c r="G23" s="64">
        <v>55</v>
      </c>
      <c r="H23" s="64">
        <v>51</v>
      </c>
      <c r="I23" s="64">
        <v>52</v>
      </c>
      <c r="J23" s="64">
        <v>57</v>
      </c>
      <c r="K23" s="64">
        <v>65</v>
      </c>
      <c r="L23" s="64">
        <v>53</v>
      </c>
      <c r="M23" s="64">
        <v>37</v>
      </c>
      <c r="N23" s="64">
        <v>63</v>
      </c>
      <c r="O23" s="64">
        <v>28</v>
      </c>
      <c r="P23" s="64">
        <v>38</v>
      </c>
      <c r="Q23" s="64">
        <v>40</v>
      </c>
      <c r="R23" s="64">
        <v>87</v>
      </c>
      <c r="S23" s="64">
        <v>43</v>
      </c>
      <c r="T23" s="64">
        <v>66</v>
      </c>
      <c r="U23" s="64">
        <v>80</v>
      </c>
      <c r="V23" s="64">
        <v>31</v>
      </c>
      <c r="W23" s="64">
        <v>36</v>
      </c>
      <c r="X23" s="64">
        <v>39</v>
      </c>
      <c r="Y23" s="64">
        <v>52</v>
      </c>
      <c r="Z23" s="64">
        <v>42</v>
      </c>
      <c r="AA23" s="64">
        <v>49</v>
      </c>
      <c r="AB23" s="64">
        <v>69</v>
      </c>
      <c r="AC23" s="64">
        <v>46</v>
      </c>
      <c r="AD23" s="64">
        <v>62</v>
      </c>
      <c r="AE23" s="64">
        <v>42</v>
      </c>
      <c r="AF23" s="64">
        <v>79</v>
      </c>
      <c r="AG23" s="64">
        <v>78</v>
      </c>
      <c r="AH23" s="64">
        <v>59</v>
      </c>
      <c r="AI23" s="64">
        <v>58</v>
      </c>
      <c r="AJ23" s="64">
        <v>66</v>
      </c>
      <c r="AK23" s="64">
        <v>90</v>
      </c>
      <c r="AL23" s="64">
        <v>35</v>
      </c>
      <c r="AM23" s="64">
        <v>0</v>
      </c>
      <c r="AN23" s="64">
        <v>0</v>
      </c>
      <c r="AO23" s="64">
        <v>0</v>
      </c>
      <c r="AP23" s="64">
        <v>0</v>
      </c>
      <c r="AQ23" s="68">
        <f t="shared" si="1"/>
        <v>1864</v>
      </c>
      <c r="AR23" s="61"/>
      <c r="AS23" s="21" t="s">
        <v>63</v>
      </c>
      <c r="AT23" s="54" t="s">
        <v>64</v>
      </c>
      <c r="AU23" s="7">
        <f t="shared" si="2"/>
        <v>1</v>
      </c>
      <c r="AV23" s="7">
        <f t="shared" si="10"/>
        <v>10</v>
      </c>
      <c r="AW23" s="7">
        <f t="shared" si="11"/>
        <v>3</v>
      </c>
      <c r="AX23" s="7">
        <f t="shared" si="12"/>
        <v>16</v>
      </c>
      <c r="AY23" s="7">
        <f t="shared" si="13"/>
        <v>6</v>
      </c>
      <c r="AZ23" s="7">
        <f t="shared" si="14"/>
        <v>7</v>
      </c>
      <c r="BA23" s="7">
        <f t="shared" si="15"/>
        <v>8</v>
      </c>
      <c r="BB23" s="7">
        <f t="shared" si="16"/>
        <v>14</v>
      </c>
      <c r="BC23" s="7">
        <f t="shared" si="17"/>
        <v>15</v>
      </c>
      <c r="BD23" s="7">
        <f t="shared" si="18"/>
        <v>12</v>
      </c>
      <c r="BE23" s="7">
        <f t="shared" si="19"/>
        <v>15</v>
      </c>
      <c r="BF23" s="7">
        <f t="shared" si="20"/>
        <v>5</v>
      </c>
      <c r="BG23" s="7">
        <f t="shared" si="21"/>
        <v>8</v>
      </c>
      <c r="BH23" s="7">
        <f t="shared" si="22"/>
        <v>1</v>
      </c>
      <c r="BI23" s="7">
        <f t="shared" si="23"/>
        <v>14</v>
      </c>
      <c r="BJ23" s="7">
        <f t="shared" si="24"/>
        <v>11</v>
      </c>
      <c r="BK23" s="7">
        <f t="shared" si="25"/>
        <v>5</v>
      </c>
      <c r="BL23" s="7">
        <f t="shared" si="26"/>
        <v>16</v>
      </c>
      <c r="BM23" s="7">
        <f t="shared" si="27"/>
        <v>11</v>
      </c>
      <c r="BN23" s="7">
        <f t="shared" si="28"/>
        <v>16</v>
      </c>
      <c r="BO23" s="7">
        <f t="shared" si="29"/>
        <v>13</v>
      </c>
      <c r="BP23" s="7">
        <f t="shared" si="30"/>
        <v>3</v>
      </c>
      <c r="BQ23" s="7">
        <f t="shared" si="31"/>
        <v>5</v>
      </c>
      <c r="BR23" s="7">
        <f t="shared" si="32"/>
        <v>3</v>
      </c>
      <c r="BS23" s="7">
        <f t="shared" si="33"/>
        <v>17</v>
      </c>
      <c r="BT23" s="7">
        <f t="shared" si="34"/>
        <v>7</v>
      </c>
      <c r="BU23" s="7">
        <f t="shared" si="35"/>
        <v>8</v>
      </c>
      <c r="BV23" s="7">
        <f t="shared" si="36"/>
        <v>1</v>
      </c>
      <c r="BW23" s="7">
        <f t="shared" si="37"/>
        <v>4</v>
      </c>
      <c r="BX23" s="7">
        <f t="shared" si="38"/>
        <v>5</v>
      </c>
      <c r="BY23" s="7">
        <f t="shared" si="39"/>
        <v>5</v>
      </c>
      <c r="BZ23" s="7">
        <f t="shared" si="40"/>
        <v>2</v>
      </c>
      <c r="CA23" s="7">
        <f t="shared" si="41"/>
        <v>8</v>
      </c>
      <c r="CB23" s="7">
        <f t="shared" si="42"/>
        <v>16</v>
      </c>
      <c r="CC23" s="7">
        <f t="shared" si="6"/>
        <v>1</v>
      </c>
      <c r="CD23" s="7">
        <f t="shared" si="7"/>
        <v>1</v>
      </c>
      <c r="CE23" s="7">
        <f t="shared" si="8"/>
        <v>1</v>
      </c>
      <c r="CF23" s="7">
        <f t="shared" si="9"/>
        <v>1</v>
      </c>
      <c r="CH23" s="21" t="s">
        <v>63</v>
      </c>
      <c r="CI23" s="54" t="s">
        <v>64</v>
      </c>
      <c r="CJ23" s="8">
        <f t="shared" si="3"/>
        <v>68</v>
      </c>
      <c r="CK23" s="8">
        <f t="shared" si="4"/>
        <v>1</v>
      </c>
      <c r="CL23" s="8">
        <f t="shared" si="5"/>
        <v>1864</v>
      </c>
    </row>
    <row r="24" spans="1:90" x14ac:dyDescent="0.2">
      <c r="A24" s="83" t="s">
        <v>176</v>
      </c>
      <c r="B24" s="12">
        <v>16</v>
      </c>
      <c r="C24" s="21" t="s">
        <v>65</v>
      </c>
      <c r="D24" s="54" t="s">
        <v>66</v>
      </c>
      <c r="E24" s="64">
        <v>55</v>
      </c>
      <c r="F24" s="64">
        <v>52</v>
      </c>
      <c r="G24" s="64">
        <v>45</v>
      </c>
      <c r="H24" s="64">
        <v>87</v>
      </c>
      <c r="I24" s="64">
        <v>37</v>
      </c>
      <c r="J24" s="64">
        <v>29</v>
      </c>
      <c r="K24" s="64">
        <v>65</v>
      </c>
      <c r="L24" s="64">
        <v>67</v>
      </c>
      <c r="M24" s="64">
        <v>53</v>
      </c>
      <c r="N24" s="64">
        <v>53</v>
      </c>
      <c r="O24" s="64">
        <v>41</v>
      </c>
      <c r="P24" s="64">
        <v>30</v>
      </c>
      <c r="Q24" s="64">
        <v>43</v>
      </c>
      <c r="R24" s="64">
        <v>69</v>
      </c>
      <c r="S24" s="64">
        <v>52</v>
      </c>
      <c r="T24" s="64">
        <v>61</v>
      </c>
      <c r="U24" s="64">
        <v>94</v>
      </c>
      <c r="V24" s="64">
        <v>36</v>
      </c>
      <c r="W24" s="64">
        <v>42</v>
      </c>
      <c r="X24" s="64">
        <v>63</v>
      </c>
      <c r="Y24" s="64">
        <v>63</v>
      </c>
      <c r="Z24" s="64">
        <v>37</v>
      </c>
      <c r="AA24" s="64">
        <v>46</v>
      </c>
      <c r="AB24" s="64">
        <v>54</v>
      </c>
      <c r="AC24" s="64">
        <v>93</v>
      </c>
      <c r="AD24" s="64">
        <v>52</v>
      </c>
      <c r="AE24" s="64">
        <v>37</v>
      </c>
      <c r="AF24" s="64">
        <v>61</v>
      </c>
      <c r="AG24" s="64">
        <v>57</v>
      </c>
      <c r="AH24" s="64">
        <v>41</v>
      </c>
      <c r="AI24" s="64">
        <v>33</v>
      </c>
      <c r="AJ24" s="64">
        <v>52</v>
      </c>
      <c r="AK24" s="64">
        <v>107</v>
      </c>
      <c r="AL24" s="64">
        <v>61</v>
      </c>
      <c r="AM24" s="64">
        <v>0</v>
      </c>
      <c r="AN24" s="64">
        <v>0</v>
      </c>
      <c r="AO24" s="64">
        <v>0</v>
      </c>
      <c r="AP24" s="64">
        <v>0</v>
      </c>
      <c r="AQ24" s="68">
        <f t="shared" si="1"/>
        <v>1868</v>
      </c>
      <c r="AR24" s="61"/>
      <c r="AS24" s="21" t="s">
        <v>65</v>
      </c>
      <c r="AT24" s="54" t="s">
        <v>66</v>
      </c>
      <c r="AU24" s="7">
        <f t="shared" si="2"/>
        <v>10</v>
      </c>
      <c r="AV24" s="7">
        <f t="shared" si="10"/>
        <v>7</v>
      </c>
      <c r="AW24" s="7">
        <f t="shared" si="11"/>
        <v>11</v>
      </c>
      <c r="AX24" s="7">
        <f t="shared" si="12"/>
        <v>1</v>
      </c>
      <c r="AY24" s="7">
        <f t="shared" si="13"/>
        <v>14</v>
      </c>
      <c r="AZ24" s="7">
        <f t="shared" si="14"/>
        <v>15</v>
      </c>
      <c r="BA24" s="7">
        <f t="shared" si="15"/>
        <v>8</v>
      </c>
      <c r="BB24" s="7">
        <f t="shared" si="16"/>
        <v>3</v>
      </c>
      <c r="BC24" s="7">
        <f t="shared" si="17"/>
        <v>2</v>
      </c>
      <c r="BD24" s="7">
        <f t="shared" si="18"/>
        <v>16</v>
      </c>
      <c r="BE24" s="7">
        <f t="shared" si="19"/>
        <v>7</v>
      </c>
      <c r="BF24" s="7">
        <f t="shared" si="20"/>
        <v>12</v>
      </c>
      <c r="BG24" s="7">
        <f t="shared" si="21"/>
        <v>7</v>
      </c>
      <c r="BH24" s="7">
        <f t="shared" si="22"/>
        <v>8</v>
      </c>
      <c r="BI24" s="7">
        <f t="shared" si="23"/>
        <v>10</v>
      </c>
      <c r="BJ24" s="7">
        <f t="shared" si="24"/>
        <v>15</v>
      </c>
      <c r="BK24" s="7">
        <f t="shared" si="25"/>
        <v>2</v>
      </c>
      <c r="BL24" s="7">
        <f t="shared" si="26"/>
        <v>12</v>
      </c>
      <c r="BM24" s="7">
        <f t="shared" si="27"/>
        <v>4</v>
      </c>
      <c r="BN24" s="7">
        <f t="shared" si="28"/>
        <v>2</v>
      </c>
      <c r="BO24" s="7">
        <f t="shared" si="29"/>
        <v>5</v>
      </c>
      <c r="BP24" s="7">
        <f t="shared" si="30"/>
        <v>8</v>
      </c>
      <c r="BQ24" s="7">
        <f t="shared" si="31"/>
        <v>8</v>
      </c>
      <c r="BR24" s="7">
        <f t="shared" si="32"/>
        <v>8</v>
      </c>
      <c r="BS24" s="7">
        <f t="shared" si="33"/>
        <v>1</v>
      </c>
      <c r="BT24" s="7">
        <f t="shared" si="34"/>
        <v>13</v>
      </c>
      <c r="BU24" s="7">
        <f t="shared" si="35"/>
        <v>14</v>
      </c>
      <c r="BV24" s="7">
        <f t="shared" si="36"/>
        <v>15</v>
      </c>
      <c r="BW24" s="7">
        <f t="shared" si="37"/>
        <v>13</v>
      </c>
      <c r="BX24" s="7">
        <f t="shared" si="38"/>
        <v>15</v>
      </c>
      <c r="BY24" s="7">
        <f t="shared" si="39"/>
        <v>17</v>
      </c>
      <c r="BZ24" s="7">
        <f t="shared" si="40"/>
        <v>11</v>
      </c>
      <c r="CA24" s="7">
        <f t="shared" si="41"/>
        <v>6</v>
      </c>
      <c r="CB24" s="7">
        <f t="shared" si="42"/>
        <v>4</v>
      </c>
      <c r="CC24" s="7">
        <f t="shared" si="6"/>
        <v>1</v>
      </c>
      <c r="CD24" s="7">
        <f t="shared" si="7"/>
        <v>1</v>
      </c>
      <c r="CE24" s="7">
        <f t="shared" si="8"/>
        <v>1</v>
      </c>
      <c r="CF24" s="7">
        <f t="shared" si="9"/>
        <v>1</v>
      </c>
      <c r="CH24" s="21" t="s">
        <v>65</v>
      </c>
      <c r="CI24" s="54" t="s">
        <v>66</v>
      </c>
      <c r="CJ24" s="8">
        <f t="shared" si="3"/>
        <v>55</v>
      </c>
      <c r="CK24" s="8">
        <f t="shared" si="4"/>
        <v>10</v>
      </c>
      <c r="CL24" s="8">
        <f t="shared" si="5"/>
        <v>1868</v>
      </c>
    </row>
    <row r="25" spans="1:90" x14ac:dyDescent="0.2">
      <c r="A25" s="83" t="s">
        <v>177</v>
      </c>
      <c r="B25" s="12">
        <v>17</v>
      </c>
      <c r="C25" s="21" t="s">
        <v>67</v>
      </c>
      <c r="D25" s="54" t="s">
        <v>68</v>
      </c>
      <c r="E25" s="64">
        <v>66</v>
      </c>
      <c r="F25" s="64">
        <v>54</v>
      </c>
      <c r="G25" s="64">
        <v>46</v>
      </c>
      <c r="H25" s="64">
        <v>78</v>
      </c>
      <c r="I25" s="64">
        <v>66</v>
      </c>
      <c r="J25" s="64">
        <v>59</v>
      </c>
      <c r="K25" s="64">
        <v>58</v>
      </c>
      <c r="L25" s="64">
        <v>60</v>
      </c>
      <c r="M25" s="64">
        <v>40</v>
      </c>
      <c r="N25" s="64">
        <v>78</v>
      </c>
      <c r="O25" s="64">
        <v>45</v>
      </c>
      <c r="P25" s="64">
        <v>37</v>
      </c>
      <c r="Q25" s="64">
        <v>40</v>
      </c>
      <c r="R25" s="64">
        <v>73</v>
      </c>
      <c r="S25" s="64">
        <v>57</v>
      </c>
      <c r="T25" s="64">
        <v>62</v>
      </c>
      <c r="U25" s="64">
        <v>77</v>
      </c>
      <c r="V25" s="64">
        <v>45</v>
      </c>
      <c r="W25" s="64">
        <v>32</v>
      </c>
      <c r="X25" s="64">
        <v>51</v>
      </c>
      <c r="Y25" s="64">
        <v>62</v>
      </c>
      <c r="Z25" s="64">
        <v>39</v>
      </c>
      <c r="AA25" s="64">
        <v>38</v>
      </c>
      <c r="AB25" s="64">
        <v>64</v>
      </c>
      <c r="AC25" s="64">
        <v>65</v>
      </c>
      <c r="AD25" s="64">
        <v>63</v>
      </c>
      <c r="AE25" s="64">
        <v>42</v>
      </c>
      <c r="AF25" s="64">
        <v>77</v>
      </c>
      <c r="AG25" s="64">
        <v>74</v>
      </c>
      <c r="AH25" s="64">
        <v>49</v>
      </c>
      <c r="AI25" s="64">
        <v>52</v>
      </c>
      <c r="AJ25" s="64">
        <v>58</v>
      </c>
      <c r="AK25" s="64">
        <v>109</v>
      </c>
      <c r="AL25" s="64">
        <v>56</v>
      </c>
      <c r="AM25" s="64">
        <v>0</v>
      </c>
      <c r="AN25" s="64">
        <v>0</v>
      </c>
      <c r="AO25" s="64">
        <v>0</v>
      </c>
      <c r="AP25" s="64">
        <v>0</v>
      </c>
      <c r="AQ25" s="68">
        <f t="shared" si="1"/>
        <v>1972</v>
      </c>
      <c r="AR25" s="61"/>
      <c r="AS25" s="21" t="s">
        <v>67</v>
      </c>
      <c r="AT25" s="54" t="s">
        <v>68</v>
      </c>
      <c r="AU25" s="7">
        <f t="shared" si="2"/>
        <v>2</v>
      </c>
      <c r="AV25" s="7">
        <f t="shared" si="10"/>
        <v>3</v>
      </c>
      <c r="AW25" s="7">
        <f t="shared" si="11"/>
        <v>9</v>
      </c>
      <c r="AX25" s="7">
        <f t="shared" si="12"/>
        <v>3</v>
      </c>
      <c r="AY25" s="7">
        <f t="shared" si="13"/>
        <v>2</v>
      </c>
      <c r="AZ25" s="7">
        <f t="shared" si="14"/>
        <v>5</v>
      </c>
      <c r="BA25" s="7">
        <f t="shared" si="15"/>
        <v>14</v>
      </c>
      <c r="BB25" s="7">
        <f t="shared" si="16"/>
        <v>6</v>
      </c>
      <c r="BC25" s="7">
        <f t="shared" si="17"/>
        <v>13</v>
      </c>
      <c r="BD25" s="7">
        <f t="shared" si="18"/>
        <v>4</v>
      </c>
      <c r="BE25" s="7">
        <f t="shared" si="19"/>
        <v>3</v>
      </c>
      <c r="BF25" s="7">
        <f t="shared" si="20"/>
        <v>7</v>
      </c>
      <c r="BG25" s="7">
        <f t="shared" si="21"/>
        <v>8</v>
      </c>
      <c r="BH25" s="7">
        <f t="shared" si="22"/>
        <v>6</v>
      </c>
      <c r="BI25" s="7">
        <f t="shared" si="23"/>
        <v>6</v>
      </c>
      <c r="BJ25" s="7">
        <f t="shared" si="24"/>
        <v>14</v>
      </c>
      <c r="BK25" s="7">
        <f t="shared" si="25"/>
        <v>11</v>
      </c>
      <c r="BL25" s="7">
        <f t="shared" si="26"/>
        <v>5</v>
      </c>
      <c r="BM25" s="7">
        <f t="shared" si="27"/>
        <v>14</v>
      </c>
      <c r="BN25" s="7">
        <f t="shared" si="28"/>
        <v>8</v>
      </c>
      <c r="BO25" s="7">
        <f t="shared" si="29"/>
        <v>6</v>
      </c>
      <c r="BP25" s="7">
        <f t="shared" si="30"/>
        <v>6</v>
      </c>
      <c r="BQ25" s="7">
        <f t="shared" si="31"/>
        <v>11</v>
      </c>
      <c r="BR25" s="7">
        <f t="shared" si="32"/>
        <v>5</v>
      </c>
      <c r="BS25" s="7">
        <f t="shared" si="33"/>
        <v>13</v>
      </c>
      <c r="BT25" s="7">
        <f t="shared" si="34"/>
        <v>6</v>
      </c>
      <c r="BU25" s="7">
        <f t="shared" si="35"/>
        <v>8</v>
      </c>
      <c r="BV25" s="7">
        <f t="shared" si="36"/>
        <v>5</v>
      </c>
      <c r="BW25" s="7">
        <f t="shared" si="37"/>
        <v>5</v>
      </c>
      <c r="BX25" s="7">
        <f t="shared" si="38"/>
        <v>9</v>
      </c>
      <c r="BY25" s="7">
        <f t="shared" si="39"/>
        <v>11</v>
      </c>
      <c r="BZ25" s="7">
        <f t="shared" si="40"/>
        <v>9</v>
      </c>
      <c r="CA25" s="7">
        <f t="shared" si="41"/>
        <v>5</v>
      </c>
      <c r="CB25" s="7">
        <f t="shared" si="42"/>
        <v>7</v>
      </c>
      <c r="CC25" s="7">
        <f t="shared" si="6"/>
        <v>1</v>
      </c>
      <c r="CD25" s="7">
        <f t="shared" si="7"/>
        <v>1</v>
      </c>
      <c r="CE25" s="7">
        <f t="shared" si="8"/>
        <v>1</v>
      </c>
      <c r="CF25" s="7">
        <f t="shared" si="9"/>
        <v>1</v>
      </c>
      <c r="CH25" s="21" t="s">
        <v>67</v>
      </c>
      <c r="CI25" s="54" t="s">
        <v>68</v>
      </c>
      <c r="CJ25" s="8">
        <f t="shared" si="3"/>
        <v>66</v>
      </c>
      <c r="CK25" s="8">
        <f t="shared" si="4"/>
        <v>2</v>
      </c>
      <c r="CL25" s="8">
        <f t="shared" si="5"/>
        <v>1972</v>
      </c>
    </row>
    <row r="26" spans="1:90" x14ac:dyDescent="0.2">
      <c r="A26" s="7"/>
      <c r="B26" s="12"/>
      <c r="C26" s="21"/>
      <c r="D26" s="54"/>
      <c r="E26" s="7"/>
      <c r="F26" s="7"/>
      <c r="G26" s="7"/>
      <c r="H26" s="7"/>
      <c r="I26" s="7"/>
      <c r="J26" s="7"/>
      <c r="K26" s="7"/>
      <c r="L26" s="7"/>
      <c r="M26" s="7"/>
      <c r="N26" s="7"/>
      <c r="O26" s="7"/>
      <c r="P26" s="7"/>
      <c r="Q26" s="7"/>
      <c r="R26" s="7"/>
      <c r="S26" s="7"/>
      <c r="T26" s="7"/>
      <c r="U26" s="7"/>
      <c r="V26" s="7"/>
      <c r="AQ26" s="68"/>
      <c r="AR26" s="61"/>
      <c r="AU26" s="7"/>
    </row>
    <row r="27" spans="1:90" x14ac:dyDescent="0.2">
      <c r="A27" s="7"/>
      <c r="D27" s="61" t="s">
        <v>178</v>
      </c>
      <c r="E27" s="65">
        <f>SUM(E9:E25)</f>
        <v>935</v>
      </c>
      <c r="F27" s="65">
        <f t="shared" ref="F27:AP27" si="43">SUM(F9:F25)</f>
        <v>822</v>
      </c>
      <c r="G27" s="65">
        <f t="shared" si="43"/>
        <v>804</v>
      </c>
      <c r="H27" s="65">
        <f t="shared" si="43"/>
        <v>1154</v>
      </c>
      <c r="I27" s="65">
        <f t="shared" si="43"/>
        <v>829</v>
      </c>
      <c r="J27" s="65">
        <f t="shared" si="43"/>
        <v>866</v>
      </c>
      <c r="K27" s="65">
        <f t="shared" si="43"/>
        <v>1143</v>
      </c>
      <c r="L27" s="65">
        <f t="shared" si="43"/>
        <v>1027</v>
      </c>
      <c r="M27" s="65">
        <f t="shared" si="43"/>
        <v>745</v>
      </c>
      <c r="N27" s="65">
        <f t="shared" si="43"/>
        <v>1160</v>
      </c>
      <c r="O27" s="65">
        <f t="shared" si="43"/>
        <v>655</v>
      </c>
      <c r="P27" s="65">
        <f t="shared" si="43"/>
        <v>617</v>
      </c>
      <c r="Q27" s="65">
        <f t="shared" si="43"/>
        <v>689</v>
      </c>
      <c r="R27" s="65">
        <f t="shared" si="43"/>
        <v>1131</v>
      </c>
      <c r="S27" s="65">
        <f t="shared" si="43"/>
        <v>911</v>
      </c>
      <c r="T27" s="65">
        <f t="shared" si="43"/>
        <v>1214</v>
      </c>
      <c r="U27" s="65">
        <f t="shared" si="43"/>
        <v>1330</v>
      </c>
      <c r="V27" s="65">
        <f t="shared" si="43"/>
        <v>710</v>
      </c>
      <c r="W27" s="65">
        <f t="shared" si="43"/>
        <v>647</v>
      </c>
      <c r="X27" s="65">
        <f t="shared" si="43"/>
        <v>831</v>
      </c>
      <c r="Y27" s="65">
        <f t="shared" si="43"/>
        <v>997</v>
      </c>
      <c r="Z27" s="65">
        <f t="shared" si="43"/>
        <v>622</v>
      </c>
      <c r="AA27" s="65">
        <f t="shared" si="43"/>
        <v>726</v>
      </c>
      <c r="AB27" s="65">
        <f t="shared" si="43"/>
        <v>940</v>
      </c>
      <c r="AC27" s="65">
        <f t="shared" si="43"/>
        <v>1200</v>
      </c>
      <c r="AD27" s="65">
        <f t="shared" si="43"/>
        <v>985</v>
      </c>
      <c r="AE27" s="65">
        <f t="shared" si="43"/>
        <v>721</v>
      </c>
      <c r="AF27" s="65">
        <f t="shared" si="43"/>
        <v>1183</v>
      </c>
      <c r="AG27" s="65">
        <f t="shared" si="43"/>
        <v>1130</v>
      </c>
      <c r="AH27" s="65">
        <f t="shared" si="43"/>
        <v>897</v>
      </c>
      <c r="AI27" s="65">
        <f t="shared" si="43"/>
        <v>911</v>
      </c>
      <c r="AJ27" s="65">
        <f t="shared" si="43"/>
        <v>969</v>
      </c>
      <c r="AK27" s="65">
        <f t="shared" si="43"/>
        <v>1546</v>
      </c>
      <c r="AL27" s="65">
        <f t="shared" si="43"/>
        <v>886</v>
      </c>
      <c r="AM27" s="65">
        <f t="shared" si="43"/>
        <v>0</v>
      </c>
      <c r="AN27" s="65">
        <f t="shared" si="43"/>
        <v>0</v>
      </c>
      <c r="AO27" s="65">
        <f t="shared" si="43"/>
        <v>0</v>
      </c>
      <c r="AP27" s="65">
        <f t="shared" si="43"/>
        <v>0</v>
      </c>
      <c r="AQ27" s="68">
        <f t="shared" si="1"/>
        <v>31933</v>
      </c>
      <c r="AR27" s="61"/>
      <c r="AU27" s="62"/>
    </row>
    <row r="28" spans="1:90" x14ac:dyDescent="0.2">
      <c r="A28" s="7"/>
      <c r="D28" s="8" t="s">
        <v>77</v>
      </c>
      <c r="E28" s="66">
        <f>AVERAGE(E9:E25)</f>
        <v>55</v>
      </c>
      <c r="F28" s="66">
        <f t="shared" ref="F28:AP28" si="44">AVERAGE(F9:F25)</f>
        <v>48.352941176470587</v>
      </c>
      <c r="G28" s="66">
        <f t="shared" si="44"/>
        <v>47.294117647058826</v>
      </c>
      <c r="H28" s="66">
        <f t="shared" si="44"/>
        <v>67.882352941176464</v>
      </c>
      <c r="I28" s="66">
        <f t="shared" si="44"/>
        <v>48.764705882352942</v>
      </c>
      <c r="J28" s="66">
        <f t="shared" si="44"/>
        <v>50.941176470588232</v>
      </c>
      <c r="K28" s="66">
        <f t="shared" si="44"/>
        <v>67.235294117647058</v>
      </c>
      <c r="L28" s="66">
        <f t="shared" si="44"/>
        <v>60.411764705882355</v>
      </c>
      <c r="M28" s="66">
        <f t="shared" si="44"/>
        <v>43.823529411764703</v>
      </c>
      <c r="N28" s="66">
        <f t="shared" si="44"/>
        <v>68.235294117647058</v>
      </c>
      <c r="O28" s="66">
        <f t="shared" si="44"/>
        <v>38.529411764705884</v>
      </c>
      <c r="P28" s="66">
        <f t="shared" si="44"/>
        <v>36.294117647058826</v>
      </c>
      <c r="Q28" s="66">
        <f t="shared" si="44"/>
        <v>40.529411764705884</v>
      </c>
      <c r="R28" s="66">
        <f t="shared" si="44"/>
        <v>66.529411764705884</v>
      </c>
      <c r="S28" s="66">
        <f t="shared" si="44"/>
        <v>53.588235294117645</v>
      </c>
      <c r="T28" s="66">
        <f t="shared" si="44"/>
        <v>71.411764705882348</v>
      </c>
      <c r="U28" s="66">
        <f t="shared" si="44"/>
        <v>78.235294117647058</v>
      </c>
      <c r="V28" s="66">
        <f t="shared" si="44"/>
        <v>41.764705882352942</v>
      </c>
      <c r="W28" s="66">
        <f t="shared" si="44"/>
        <v>38.058823529411768</v>
      </c>
      <c r="X28" s="66">
        <f t="shared" si="44"/>
        <v>48.882352941176471</v>
      </c>
      <c r="Y28" s="66">
        <f t="shared" si="44"/>
        <v>58.647058823529413</v>
      </c>
      <c r="Z28" s="66">
        <f t="shared" si="44"/>
        <v>36.588235294117645</v>
      </c>
      <c r="AA28" s="66">
        <f t="shared" si="44"/>
        <v>42.705882352941174</v>
      </c>
      <c r="AB28" s="66">
        <f t="shared" si="44"/>
        <v>55.294117647058826</v>
      </c>
      <c r="AC28" s="66">
        <f t="shared" si="44"/>
        <v>70.588235294117652</v>
      </c>
      <c r="AD28" s="66">
        <f t="shared" si="44"/>
        <v>57.941176470588232</v>
      </c>
      <c r="AE28" s="66">
        <f t="shared" si="44"/>
        <v>42.411764705882355</v>
      </c>
      <c r="AF28" s="66">
        <f t="shared" si="44"/>
        <v>69.588235294117652</v>
      </c>
      <c r="AG28" s="66">
        <f t="shared" si="44"/>
        <v>66.470588235294116</v>
      </c>
      <c r="AH28" s="66">
        <f t="shared" si="44"/>
        <v>52.764705882352942</v>
      </c>
      <c r="AI28" s="66">
        <f t="shared" si="44"/>
        <v>53.588235294117645</v>
      </c>
      <c r="AJ28" s="66">
        <f t="shared" si="44"/>
        <v>57</v>
      </c>
      <c r="AK28" s="66">
        <f t="shared" si="44"/>
        <v>90.941176470588232</v>
      </c>
      <c r="AL28" s="66">
        <f t="shared" si="44"/>
        <v>52.117647058823529</v>
      </c>
      <c r="AM28" s="66">
        <f t="shared" si="44"/>
        <v>0</v>
      </c>
      <c r="AN28" s="66">
        <f t="shared" si="44"/>
        <v>0</v>
      </c>
      <c r="AO28" s="66">
        <f t="shared" si="44"/>
        <v>0</v>
      </c>
      <c r="AP28" s="66">
        <f t="shared" si="44"/>
        <v>0</v>
      </c>
      <c r="AU28" s="63"/>
    </row>
    <row r="29" spans="1:90" x14ac:dyDescent="0.2">
      <c r="A29" s="7"/>
      <c r="D29" s="8" t="s">
        <v>179</v>
      </c>
      <c r="E29" s="64">
        <f>MEDIAN(E9:E25)</f>
        <v>56</v>
      </c>
      <c r="F29" s="64">
        <f t="shared" ref="F29:AP29" si="45">MEDIAN(F9:F25)</f>
        <v>49</v>
      </c>
      <c r="G29" s="64">
        <f t="shared" si="45"/>
        <v>46</v>
      </c>
      <c r="H29" s="64">
        <f t="shared" si="45"/>
        <v>69</v>
      </c>
      <c r="I29" s="64">
        <f t="shared" si="45"/>
        <v>50</v>
      </c>
      <c r="J29" s="64">
        <f t="shared" si="45"/>
        <v>53</v>
      </c>
      <c r="K29" s="64">
        <f t="shared" si="45"/>
        <v>65</v>
      </c>
      <c r="L29" s="64">
        <f t="shared" si="45"/>
        <v>58</v>
      </c>
      <c r="M29" s="64">
        <f t="shared" si="45"/>
        <v>43</v>
      </c>
      <c r="N29" s="64">
        <f t="shared" si="45"/>
        <v>67</v>
      </c>
      <c r="O29" s="64">
        <f t="shared" si="45"/>
        <v>39</v>
      </c>
      <c r="P29" s="64">
        <f t="shared" si="45"/>
        <v>34</v>
      </c>
      <c r="Q29" s="64">
        <f t="shared" si="45"/>
        <v>40</v>
      </c>
      <c r="R29" s="64">
        <f t="shared" si="45"/>
        <v>68</v>
      </c>
      <c r="S29" s="64">
        <f t="shared" si="45"/>
        <v>53</v>
      </c>
      <c r="T29" s="64">
        <f t="shared" si="45"/>
        <v>73</v>
      </c>
      <c r="U29" s="64">
        <f t="shared" si="45"/>
        <v>79</v>
      </c>
      <c r="V29" s="64">
        <f t="shared" si="45"/>
        <v>42</v>
      </c>
      <c r="W29" s="64">
        <f t="shared" si="45"/>
        <v>38</v>
      </c>
      <c r="X29" s="64">
        <f t="shared" si="45"/>
        <v>49</v>
      </c>
      <c r="Y29" s="64">
        <f t="shared" si="45"/>
        <v>60</v>
      </c>
      <c r="Z29" s="64">
        <f t="shared" si="45"/>
        <v>35</v>
      </c>
      <c r="AA29" s="64">
        <f t="shared" si="45"/>
        <v>44</v>
      </c>
      <c r="AB29" s="64">
        <f t="shared" si="45"/>
        <v>53</v>
      </c>
      <c r="AC29" s="64">
        <f t="shared" si="45"/>
        <v>69</v>
      </c>
      <c r="AD29" s="64">
        <f t="shared" si="45"/>
        <v>55</v>
      </c>
      <c r="AE29" s="64">
        <f t="shared" si="45"/>
        <v>42</v>
      </c>
      <c r="AF29" s="64">
        <f t="shared" si="45"/>
        <v>70</v>
      </c>
      <c r="AG29" s="64">
        <f t="shared" si="45"/>
        <v>68</v>
      </c>
      <c r="AH29" s="64">
        <f t="shared" si="45"/>
        <v>49</v>
      </c>
      <c r="AI29" s="64">
        <f t="shared" si="45"/>
        <v>54</v>
      </c>
      <c r="AJ29" s="64">
        <f t="shared" si="45"/>
        <v>58</v>
      </c>
      <c r="AK29" s="64">
        <f t="shared" si="45"/>
        <v>87</v>
      </c>
      <c r="AL29" s="64">
        <f t="shared" si="45"/>
        <v>55</v>
      </c>
      <c r="AM29" s="64">
        <f t="shared" si="45"/>
        <v>0</v>
      </c>
      <c r="AN29" s="64">
        <f t="shared" si="45"/>
        <v>0</v>
      </c>
      <c r="AO29" s="64">
        <f t="shared" si="45"/>
        <v>0</v>
      </c>
      <c r="AP29" s="64">
        <f t="shared" si="45"/>
        <v>0</v>
      </c>
      <c r="AU29" s="7"/>
    </row>
    <row r="30" spans="1:90" x14ac:dyDescent="0.2">
      <c r="A30" s="7"/>
      <c r="D30" s="8" t="s">
        <v>180</v>
      </c>
      <c r="E30" s="64">
        <f>MAX(E9:E25)</f>
        <v>68</v>
      </c>
      <c r="F30" s="64">
        <f t="shared" ref="F30:AP30" si="46">MAX(F9:F25)</f>
        <v>64</v>
      </c>
      <c r="G30" s="64">
        <f t="shared" si="46"/>
        <v>70</v>
      </c>
      <c r="H30" s="64">
        <f t="shared" si="46"/>
        <v>87</v>
      </c>
      <c r="I30" s="64">
        <f t="shared" si="46"/>
        <v>76</v>
      </c>
      <c r="J30" s="64">
        <f t="shared" si="46"/>
        <v>78</v>
      </c>
      <c r="K30" s="64">
        <f t="shared" si="46"/>
        <v>87</v>
      </c>
      <c r="L30" s="64">
        <f t="shared" si="46"/>
        <v>91</v>
      </c>
      <c r="M30" s="64">
        <f t="shared" si="46"/>
        <v>57</v>
      </c>
      <c r="N30" s="64">
        <f t="shared" si="46"/>
        <v>89</v>
      </c>
      <c r="O30" s="64">
        <f t="shared" si="46"/>
        <v>53</v>
      </c>
      <c r="P30" s="64">
        <f t="shared" si="46"/>
        <v>71</v>
      </c>
      <c r="Q30" s="64">
        <f t="shared" si="46"/>
        <v>74</v>
      </c>
      <c r="R30" s="64">
        <f t="shared" si="46"/>
        <v>87</v>
      </c>
      <c r="S30" s="64">
        <f t="shared" si="46"/>
        <v>71</v>
      </c>
      <c r="T30" s="64">
        <f t="shared" si="46"/>
        <v>92</v>
      </c>
      <c r="U30" s="64">
        <f t="shared" si="46"/>
        <v>100</v>
      </c>
      <c r="V30" s="64">
        <f t="shared" si="46"/>
        <v>55</v>
      </c>
      <c r="W30" s="64">
        <f t="shared" si="46"/>
        <v>57</v>
      </c>
      <c r="X30" s="64">
        <f t="shared" si="46"/>
        <v>67</v>
      </c>
      <c r="Y30" s="64">
        <f t="shared" si="46"/>
        <v>71</v>
      </c>
      <c r="Z30" s="64">
        <f t="shared" si="46"/>
        <v>51</v>
      </c>
      <c r="AA30" s="64">
        <f t="shared" si="46"/>
        <v>57</v>
      </c>
      <c r="AB30" s="64">
        <f t="shared" si="46"/>
        <v>75</v>
      </c>
      <c r="AC30" s="64">
        <f t="shared" si="46"/>
        <v>93</v>
      </c>
      <c r="AD30" s="64">
        <f t="shared" si="46"/>
        <v>74</v>
      </c>
      <c r="AE30" s="64">
        <f t="shared" si="46"/>
        <v>54</v>
      </c>
      <c r="AF30" s="64">
        <f t="shared" si="46"/>
        <v>79</v>
      </c>
      <c r="AG30" s="64">
        <f t="shared" si="46"/>
        <v>82</v>
      </c>
      <c r="AH30" s="64">
        <f t="shared" si="46"/>
        <v>78</v>
      </c>
      <c r="AI30" s="64">
        <f t="shared" si="46"/>
        <v>68</v>
      </c>
      <c r="AJ30" s="64">
        <f t="shared" si="46"/>
        <v>78</v>
      </c>
      <c r="AK30" s="64">
        <f t="shared" si="46"/>
        <v>134</v>
      </c>
      <c r="AL30" s="64">
        <f t="shared" si="46"/>
        <v>74</v>
      </c>
      <c r="AM30" s="64">
        <f t="shared" si="46"/>
        <v>0</v>
      </c>
      <c r="AN30" s="64">
        <f t="shared" si="46"/>
        <v>0</v>
      </c>
      <c r="AO30" s="64">
        <f t="shared" si="46"/>
        <v>0</v>
      </c>
      <c r="AP30" s="64">
        <f t="shared" si="46"/>
        <v>0</v>
      </c>
      <c r="AU30" s="7"/>
    </row>
    <row r="31" spans="1:90" x14ac:dyDescent="0.2">
      <c r="A31" s="7"/>
      <c r="D31" s="8" t="s">
        <v>181</v>
      </c>
      <c r="E31" s="64">
        <f>MIN(E9:E25)</f>
        <v>34</v>
      </c>
      <c r="F31" s="64">
        <f t="shared" ref="F31:AP31" si="47">MIN(F9:F25)</f>
        <v>35</v>
      </c>
      <c r="G31" s="64">
        <f t="shared" si="47"/>
        <v>34</v>
      </c>
      <c r="H31" s="64">
        <f t="shared" si="47"/>
        <v>47</v>
      </c>
      <c r="I31" s="64">
        <f t="shared" si="47"/>
        <v>30</v>
      </c>
      <c r="J31" s="64">
        <f t="shared" si="47"/>
        <v>21</v>
      </c>
      <c r="K31" s="64">
        <f t="shared" si="47"/>
        <v>46</v>
      </c>
      <c r="L31" s="64">
        <f t="shared" si="47"/>
        <v>46</v>
      </c>
      <c r="M31" s="64">
        <f t="shared" si="47"/>
        <v>29</v>
      </c>
      <c r="N31" s="64">
        <f t="shared" si="47"/>
        <v>53</v>
      </c>
      <c r="O31" s="64">
        <f t="shared" si="47"/>
        <v>25</v>
      </c>
      <c r="P31" s="64">
        <f t="shared" si="47"/>
        <v>24</v>
      </c>
      <c r="Q31" s="64">
        <f t="shared" si="47"/>
        <v>17</v>
      </c>
      <c r="R31" s="64">
        <f t="shared" si="47"/>
        <v>47</v>
      </c>
      <c r="S31" s="64">
        <f t="shared" si="47"/>
        <v>39</v>
      </c>
      <c r="T31" s="64">
        <f t="shared" si="47"/>
        <v>54</v>
      </c>
      <c r="U31" s="64">
        <f t="shared" si="47"/>
        <v>64</v>
      </c>
      <c r="V31" s="64">
        <f t="shared" si="47"/>
        <v>31</v>
      </c>
      <c r="W31" s="64">
        <f t="shared" si="47"/>
        <v>26</v>
      </c>
      <c r="X31" s="64">
        <f t="shared" si="47"/>
        <v>33</v>
      </c>
      <c r="Y31" s="64">
        <f t="shared" si="47"/>
        <v>48</v>
      </c>
      <c r="Z31" s="64">
        <f t="shared" si="47"/>
        <v>27</v>
      </c>
      <c r="AA31" s="64">
        <f t="shared" si="47"/>
        <v>22</v>
      </c>
      <c r="AB31" s="64">
        <f t="shared" si="47"/>
        <v>36</v>
      </c>
      <c r="AC31" s="64">
        <f t="shared" si="47"/>
        <v>46</v>
      </c>
      <c r="AD31" s="64">
        <f t="shared" si="47"/>
        <v>44</v>
      </c>
      <c r="AE31" s="64">
        <f t="shared" si="47"/>
        <v>30</v>
      </c>
      <c r="AF31" s="64">
        <f t="shared" si="47"/>
        <v>49</v>
      </c>
      <c r="AG31" s="64">
        <f t="shared" si="47"/>
        <v>48</v>
      </c>
      <c r="AH31" s="64">
        <f t="shared" si="47"/>
        <v>39</v>
      </c>
      <c r="AI31" s="64">
        <f t="shared" si="47"/>
        <v>33</v>
      </c>
      <c r="AJ31" s="64">
        <f t="shared" si="47"/>
        <v>41</v>
      </c>
      <c r="AK31" s="64">
        <f t="shared" si="47"/>
        <v>52</v>
      </c>
      <c r="AL31" s="64">
        <f t="shared" si="47"/>
        <v>22</v>
      </c>
      <c r="AM31" s="64">
        <f t="shared" si="47"/>
        <v>0</v>
      </c>
      <c r="AN31" s="64">
        <f t="shared" si="47"/>
        <v>0</v>
      </c>
      <c r="AO31" s="64">
        <f t="shared" si="47"/>
        <v>0</v>
      </c>
      <c r="AP31" s="64">
        <f t="shared" si="47"/>
        <v>0</v>
      </c>
      <c r="AU31" s="7"/>
    </row>
    <row r="32" spans="1:90" x14ac:dyDescent="0.2">
      <c r="A32" s="7"/>
      <c r="E32" s="7"/>
      <c r="F32" s="7"/>
      <c r="G32" s="7"/>
      <c r="H32" s="7"/>
      <c r="I32" s="7"/>
      <c r="J32" s="7"/>
      <c r="K32" s="7"/>
      <c r="L32" s="7"/>
      <c r="M32" s="7"/>
      <c r="N32" s="7"/>
      <c r="O32" s="7"/>
      <c r="P32" s="7"/>
      <c r="Q32" s="7"/>
      <c r="R32" s="7"/>
      <c r="S32" s="7"/>
      <c r="T32" s="7"/>
      <c r="U32" s="7"/>
      <c r="V32" s="7"/>
      <c r="AU32" s="7"/>
    </row>
    <row r="33" spans="1:47" x14ac:dyDescent="0.2">
      <c r="A33" s="7"/>
      <c r="D33" s="8" t="s">
        <v>182</v>
      </c>
      <c r="E33" s="64">
        <f>SMALL($E$9:$E$25,1)</f>
        <v>34</v>
      </c>
      <c r="F33" s="64">
        <f>SMALL(F$9:F$25,1)</f>
        <v>35</v>
      </c>
      <c r="G33" s="64">
        <f>SMALL(G$9:G$25,1)</f>
        <v>34</v>
      </c>
      <c r="H33" s="64">
        <f t="shared" ref="H33:AP33" si="48">SMALL(H$9:H$25,1)</f>
        <v>47</v>
      </c>
      <c r="I33" s="64">
        <f t="shared" si="48"/>
        <v>30</v>
      </c>
      <c r="J33" s="64">
        <f t="shared" si="48"/>
        <v>21</v>
      </c>
      <c r="K33" s="64">
        <f t="shared" si="48"/>
        <v>46</v>
      </c>
      <c r="L33" s="64">
        <f t="shared" si="48"/>
        <v>46</v>
      </c>
      <c r="M33" s="64">
        <f t="shared" si="48"/>
        <v>29</v>
      </c>
      <c r="N33" s="64">
        <f t="shared" si="48"/>
        <v>53</v>
      </c>
      <c r="O33" s="64">
        <f t="shared" si="48"/>
        <v>25</v>
      </c>
      <c r="P33" s="64">
        <f t="shared" si="48"/>
        <v>24</v>
      </c>
      <c r="Q33" s="64">
        <f t="shared" si="48"/>
        <v>17</v>
      </c>
      <c r="R33" s="64">
        <f t="shared" si="48"/>
        <v>47</v>
      </c>
      <c r="S33" s="64">
        <f t="shared" si="48"/>
        <v>39</v>
      </c>
      <c r="T33" s="64">
        <f t="shared" si="48"/>
        <v>54</v>
      </c>
      <c r="U33" s="64">
        <f t="shared" si="48"/>
        <v>64</v>
      </c>
      <c r="V33" s="64">
        <f t="shared" si="48"/>
        <v>31</v>
      </c>
      <c r="W33" s="64">
        <f t="shared" si="48"/>
        <v>26</v>
      </c>
      <c r="X33" s="64">
        <f t="shared" si="48"/>
        <v>33</v>
      </c>
      <c r="Y33" s="64">
        <f t="shared" si="48"/>
        <v>48</v>
      </c>
      <c r="Z33" s="64">
        <f t="shared" si="48"/>
        <v>27</v>
      </c>
      <c r="AA33" s="64">
        <f t="shared" si="48"/>
        <v>22</v>
      </c>
      <c r="AB33" s="64">
        <f t="shared" si="48"/>
        <v>36</v>
      </c>
      <c r="AC33" s="64">
        <f t="shared" si="48"/>
        <v>46</v>
      </c>
      <c r="AD33" s="64">
        <f t="shared" si="48"/>
        <v>44</v>
      </c>
      <c r="AE33" s="64">
        <f t="shared" si="48"/>
        <v>30</v>
      </c>
      <c r="AF33" s="64">
        <f t="shared" si="48"/>
        <v>49</v>
      </c>
      <c r="AG33" s="64">
        <f t="shared" si="48"/>
        <v>48</v>
      </c>
      <c r="AH33" s="64">
        <f t="shared" si="48"/>
        <v>39</v>
      </c>
      <c r="AI33" s="64">
        <f t="shared" si="48"/>
        <v>33</v>
      </c>
      <c r="AJ33" s="64">
        <f t="shared" si="48"/>
        <v>41</v>
      </c>
      <c r="AK33" s="64">
        <f t="shared" si="48"/>
        <v>52</v>
      </c>
      <c r="AL33" s="64">
        <f t="shared" si="48"/>
        <v>22</v>
      </c>
      <c r="AM33" s="64">
        <f t="shared" si="48"/>
        <v>0</v>
      </c>
      <c r="AN33" s="64">
        <f t="shared" si="48"/>
        <v>0</v>
      </c>
      <c r="AO33" s="64">
        <f t="shared" si="48"/>
        <v>0</v>
      </c>
      <c r="AP33" s="64">
        <f t="shared" si="48"/>
        <v>0</v>
      </c>
      <c r="AU33" s="7"/>
    </row>
    <row r="34" spans="1:47" x14ac:dyDescent="0.2">
      <c r="A34" s="7"/>
      <c r="D34" s="8" t="s">
        <v>183</v>
      </c>
      <c r="E34" s="64">
        <f>SMALL($E$9:$E$25,2)</f>
        <v>43</v>
      </c>
      <c r="F34" s="64">
        <f>SMALL(F$9:F$25,2)</f>
        <v>37</v>
      </c>
      <c r="G34" s="64">
        <f>SMALL(G$9:G$25,2)</f>
        <v>35</v>
      </c>
      <c r="H34" s="64">
        <f t="shared" ref="H34:AP34" si="49">SMALL(H$9:H$25,2)</f>
        <v>51</v>
      </c>
      <c r="I34" s="64">
        <f t="shared" si="49"/>
        <v>32</v>
      </c>
      <c r="J34" s="64">
        <f t="shared" si="49"/>
        <v>26</v>
      </c>
      <c r="K34" s="64">
        <f t="shared" si="49"/>
        <v>53</v>
      </c>
      <c r="L34" s="64">
        <f t="shared" si="49"/>
        <v>51</v>
      </c>
      <c r="M34" s="64">
        <f t="shared" si="49"/>
        <v>34</v>
      </c>
      <c r="N34" s="64">
        <f t="shared" si="49"/>
        <v>53</v>
      </c>
      <c r="O34" s="64">
        <f t="shared" si="49"/>
        <v>28</v>
      </c>
      <c r="P34" s="64">
        <f t="shared" si="49"/>
        <v>28</v>
      </c>
      <c r="Q34" s="64">
        <f t="shared" si="49"/>
        <v>26</v>
      </c>
      <c r="R34" s="64">
        <f t="shared" si="49"/>
        <v>53</v>
      </c>
      <c r="S34" s="64">
        <f t="shared" si="49"/>
        <v>40</v>
      </c>
      <c r="T34" s="64">
        <f t="shared" si="49"/>
        <v>57</v>
      </c>
      <c r="U34" s="64">
        <f t="shared" si="49"/>
        <v>65</v>
      </c>
      <c r="V34" s="64">
        <f t="shared" si="49"/>
        <v>31</v>
      </c>
      <c r="W34" s="64">
        <f t="shared" si="49"/>
        <v>27</v>
      </c>
      <c r="X34" s="64">
        <f t="shared" si="49"/>
        <v>39</v>
      </c>
      <c r="Y34" s="64">
        <f t="shared" si="49"/>
        <v>51</v>
      </c>
      <c r="Z34" s="64">
        <f t="shared" si="49"/>
        <v>30</v>
      </c>
      <c r="AA34" s="64">
        <f t="shared" si="49"/>
        <v>29</v>
      </c>
      <c r="AB34" s="64">
        <f t="shared" si="49"/>
        <v>40</v>
      </c>
      <c r="AC34" s="64">
        <f t="shared" si="49"/>
        <v>49</v>
      </c>
      <c r="AD34" s="64">
        <f t="shared" si="49"/>
        <v>45</v>
      </c>
      <c r="AE34" s="64">
        <f t="shared" si="49"/>
        <v>34</v>
      </c>
      <c r="AF34" s="64">
        <f t="shared" si="49"/>
        <v>59</v>
      </c>
      <c r="AG34" s="64">
        <f t="shared" si="49"/>
        <v>50</v>
      </c>
      <c r="AH34" s="64">
        <f t="shared" si="49"/>
        <v>39</v>
      </c>
      <c r="AI34" s="64">
        <f t="shared" si="49"/>
        <v>44</v>
      </c>
      <c r="AJ34" s="64">
        <f t="shared" si="49"/>
        <v>42</v>
      </c>
      <c r="AK34" s="64">
        <f t="shared" si="49"/>
        <v>64</v>
      </c>
      <c r="AL34" s="64">
        <f t="shared" si="49"/>
        <v>35</v>
      </c>
      <c r="AM34" s="64">
        <f t="shared" si="49"/>
        <v>0</v>
      </c>
      <c r="AN34" s="64">
        <f t="shared" si="49"/>
        <v>0</v>
      </c>
      <c r="AO34" s="64">
        <f t="shared" si="49"/>
        <v>0</v>
      </c>
      <c r="AP34" s="64">
        <f t="shared" si="49"/>
        <v>0</v>
      </c>
      <c r="AU34" s="7"/>
    </row>
    <row r="35" spans="1:47" x14ac:dyDescent="0.2">
      <c r="A35" s="7"/>
      <c r="D35" s="8" t="s">
        <v>184</v>
      </c>
      <c r="E35" s="64">
        <f>SMALL($E$9:$E$25,3)</f>
        <v>43</v>
      </c>
      <c r="F35" s="64">
        <f>SMALL(F$9:F$25,3)</f>
        <v>38</v>
      </c>
      <c r="G35" s="64">
        <f>SMALL(G$9:G$25,3)</f>
        <v>36</v>
      </c>
      <c r="H35" s="64">
        <f t="shared" ref="H35:AP35" si="50">SMALL(H$9:H$25,3)</f>
        <v>59</v>
      </c>
      <c r="I35" s="64">
        <f t="shared" si="50"/>
        <v>34</v>
      </c>
      <c r="J35" s="64">
        <f t="shared" si="50"/>
        <v>29</v>
      </c>
      <c r="K35" s="64">
        <f t="shared" si="50"/>
        <v>55</v>
      </c>
      <c r="L35" s="64">
        <f t="shared" si="50"/>
        <v>53</v>
      </c>
      <c r="M35" s="64">
        <f t="shared" si="50"/>
        <v>37</v>
      </c>
      <c r="N35" s="64">
        <f t="shared" si="50"/>
        <v>54</v>
      </c>
      <c r="O35" s="64">
        <f t="shared" si="50"/>
        <v>28</v>
      </c>
      <c r="P35" s="64">
        <f t="shared" si="50"/>
        <v>28</v>
      </c>
      <c r="Q35" s="64">
        <f t="shared" si="50"/>
        <v>27</v>
      </c>
      <c r="R35" s="64">
        <f t="shared" si="50"/>
        <v>55</v>
      </c>
      <c r="S35" s="64">
        <f t="shared" si="50"/>
        <v>42</v>
      </c>
      <c r="T35" s="64">
        <f t="shared" si="50"/>
        <v>61</v>
      </c>
      <c r="U35" s="64">
        <f t="shared" si="50"/>
        <v>67</v>
      </c>
      <c r="V35" s="64">
        <f t="shared" si="50"/>
        <v>33</v>
      </c>
      <c r="W35" s="64">
        <f t="shared" si="50"/>
        <v>31</v>
      </c>
      <c r="X35" s="64">
        <f t="shared" si="50"/>
        <v>41</v>
      </c>
      <c r="Y35" s="64">
        <f t="shared" si="50"/>
        <v>51</v>
      </c>
      <c r="Z35" s="64">
        <f t="shared" si="50"/>
        <v>31</v>
      </c>
      <c r="AA35" s="64">
        <f t="shared" si="50"/>
        <v>31</v>
      </c>
      <c r="AB35" s="64">
        <f t="shared" si="50"/>
        <v>44</v>
      </c>
      <c r="AC35" s="64">
        <f t="shared" si="50"/>
        <v>63</v>
      </c>
      <c r="AD35" s="64">
        <f t="shared" si="50"/>
        <v>47</v>
      </c>
      <c r="AE35" s="64">
        <f t="shared" si="50"/>
        <v>37</v>
      </c>
      <c r="AF35" s="64">
        <f t="shared" si="50"/>
        <v>61</v>
      </c>
      <c r="AG35" s="64">
        <f t="shared" si="50"/>
        <v>51</v>
      </c>
      <c r="AH35" s="64">
        <f t="shared" si="50"/>
        <v>41</v>
      </c>
      <c r="AI35" s="64">
        <f t="shared" si="50"/>
        <v>48</v>
      </c>
      <c r="AJ35" s="64">
        <f t="shared" si="50"/>
        <v>44</v>
      </c>
      <c r="AK35" s="64">
        <f t="shared" si="50"/>
        <v>67</v>
      </c>
      <c r="AL35" s="64">
        <f t="shared" si="50"/>
        <v>38</v>
      </c>
      <c r="AM35" s="64">
        <f t="shared" si="50"/>
        <v>0</v>
      </c>
      <c r="AN35" s="64">
        <f t="shared" si="50"/>
        <v>0</v>
      </c>
      <c r="AO35" s="64">
        <f t="shared" si="50"/>
        <v>0</v>
      </c>
      <c r="AP35" s="64">
        <f t="shared" si="50"/>
        <v>0</v>
      </c>
      <c r="AU35" s="7"/>
    </row>
    <row r="36" spans="1:47" x14ac:dyDescent="0.2">
      <c r="A36" s="7"/>
      <c r="D36" s="8" t="s">
        <v>185</v>
      </c>
      <c r="E36" s="64">
        <f>SMALL($E$9:$E$25,4)</f>
        <v>47</v>
      </c>
      <c r="F36" s="64">
        <f>SMALL(F$9:F$25,4)</f>
        <v>39</v>
      </c>
      <c r="G36" s="64">
        <f>SMALL(G$9:G$25,4)</f>
        <v>41</v>
      </c>
      <c r="H36" s="64">
        <f t="shared" ref="H36:AP36" si="51">SMALL(H$9:H$25,4)</f>
        <v>59</v>
      </c>
      <c r="I36" s="64">
        <f t="shared" si="51"/>
        <v>37</v>
      </c>
      <c r="J36" s="64">
        <f t="shared" si="51"/>
        <v>38</v>
      </c>
      <c r="K36" s="64">
        <f t="shared" si="51"/>
        <v>58</v>
      </c>
      <c r="L36" s="64">
        <f t="shared" si="51"/>
        <v>53</v>
      </c>
      <c r="M36" s="64">
        <f t="shared" si="51"/>
        <v>38</v>
      </c>
      <c r="N36" s="64">
        <f t="shared" si="51"/>
        <v>57</v>
      </c>
      <c r="O36" s="64">
        <f t="shared" si="51"/>
        <v>29</v>
      </c>
      <c r="P36" s="64">
        <f t="shared" si="51"/>
        <v>29</v>
      </c>
      <c r="Q36" s="64">
        <f t="shared" si="51"/>
        <v>28</v>
      </c>
      <c r="R36" s="64">
        <f t="shared" si="51"/>
        <v>55</v>
      </c>
      <c r="S36" s="64">
        <f t="shared" si="51"/>
        <v>43</v>
      </c>
      <c r="T36" s="64">
        <f t="shared" si="51"/>
        <v>62</v>
      </c>
      <c r="U36" s="64">
        <f t="shared" si="51"/>
        <v>69</v>
      </c>
      <c r="V36" s="64">
        <f t="shared" si="51"/>
        <v>34</v>
      </c>
      <c r="W36" s="64">
        <f t="shared" si="51"/>
        <v>32</v>
      </c>
      <c r="X36" s="64">
        <f t="shared" si="51"/>
        <v>42</v>
      </c>
      <c r="Y36" s="64">
        <f t="shared" si="51"/>
        <v>51</v>
      </c>
      <c r="Z36" s="64">
        <f t="shared" si="51"/>
        <v>31</v>
      </c>
      <c r="AA36" s="64">
        <f t="shared" si="51"/>
        <v>33</v>
      </c>
      <c r="AB36" s="64">
        <f t="shared" si="51"/>
        <v>45</v>
      </c>
      <c r="AC36" s="64">
        <f t="shared" si="51"/>
        <v>65</v>
      </c>
      <c r="AD36" s="64">
        <f t="shared" si="51"/>
        <v>50</v>
      </c>
      <c r="AE36" s="64">
        <f t="shared" si="51"/>
        <v>37</v>
      </c>
      <c r="AF36" s="64">
        <f t="shared" si="51"/>
        <v>62</v>
      </c>
      <c r="AG36" s="64">
        <f t="shared" si="51"/>
        <v>53</v>
      </c>
      <c r="AH36" s="64">
        <f t="shared" si="51"/>
        <v>46</v>
      </c>
      <c r="AI36" s="64">
        <f t="shared" si="51"/>
        <v>50</v>
      </c>
      <c r="AJ36" s="64">
        <f t="shared" si="51"/>
        <v>45</v>
      </c>
      <c r="AK36" s="64">
        <f t="shared" si="51"/>
        <v>74</v>
      </c>
      <c r="AL36" s="64">
        <f t="shared" si="51"/>
        <v>41</v>
      </c>
      <c r="AM36" s="64">
        <f t="shared" si="51"/>
        <v>0</v>
      </c>
      <c r="AN36" s="64">
        <f t="shared" si="51"/>
        <v>0</v>
      </c>
      <c r="AO36" s="64">
        <f t="shared" si="51"/>
        <v>0</v>
      </c>
      <c r="AP36" s="64">
        <f t="shared" si="51"/>
        <v>0</v>
      </c>
      <c r="AU36" s="7"/>
    </row>
    <row r="37" spans="1:47" x14ac:dyDescent="0.2">
      <c r="A37" s="7"/>
      <c r="D37" s="8" t="s">
        <v>186</v>
      </c>
      <c r="E37" s="64">
        <f>SMALL($E$9:$E$25,5)</f>
        <v>50</v>
      </c>
      <c r="F37" s="64">
        <f>SMALL(F$9:F$25,5)</f>
        <v>42</v>
      </c>
      <c r="G37" s="64">
        <f>SMALL(G$9:G$25,5)</f>
        <v>43</v>
      </c>
      <c r="H37" s="64">
        <f t="shared" ref="H37:AP37" si="52">SMALL(H$9:H$25,5)</f>
        <v>63</v>
      </c>
      <c r="I37" s="64">
        <f t="shared" si="52"/>
        <v>41</v>
      </c>
      <c r="J37" s="64">
        <f t="shared" si="52"/>
        <v>44</v>
      </c>
      <c r="K37" s="64">
        <f t="shared" si="52"/>
        <v>60</v>
      </c>
      <c r="L37" s="64">
        <f t="shared" si="52"/>
        <v>56</v>
      </c>
      <c r="M37" s="64">
        <f t="shared" si="52"/>
        <v>40</v>
      </c>
      <c r="N37" s="64">
        <f t="shared" si="52"/>
        <v>58</v>
      </c>
      <c r="O37" s="64">
        <f t="shared" si="52"/>
        <v>34</v>
      </c>
      <c r="P37" s="64">
        <f t="shared" si="52"/>
        <v>29</v>
      </c>
      <c r="Q37" s="64">
        <f t="shared" si="52"/>
        <v>29</v>
      </c>
      <c r="R37" s="64">
        <f t="shared" si="52"/>
        <v>56</v>
      </c>
      <c r="S37" s="64">
        <f t="shared" si="52"/>
        <v>46</v>
      </c>
      <c r="T37" s="64">
        <f t="shared" si="52"/>
        <v>63</v>
      </c>
      <c r="U37" s="64">
        <f t="shared" si="52"/>
        <v>72</v>
      </c>
      <c r="V37" s="64">
        <f t="shared" si="52"/>
        <v>36</v>
      </c>
      <c r="W37" s="64">
        <f t="shared" si="52"/>
        <v>33</v>
      </c>
      <c r="X37" s="64">
        <f t="shared" si="52"/>
        <v>43</v>
      </c>
      <c r="Y37" s="64">
        <f t="shared" si="52"/>
        <v>52</v>
      </c>
      <c r="Z37" s="64">
        <f t="shared" si="52"/>
        <v>32</v>
      </c>
      <c r="AA37" s="64">
        <f t="shared" si="52"/>
        <v>35</v>
      </c>
      <c r="AB37" s="64">
        <f t="shared" si="52"/>
        <v>45</v>
      </c>
      <c r="AC37" s="64">
        <f t="shared" si="52"/>
        <v>65</v>
      </c>
      <c r="AD37" s="64">
        <f t="shared" si="52"/>
        <v>52</v>
      </c>
      <c r="AE37" s="64">
        <f t="shared" si="52"/>
        <v>38</v>
      </c>
      <c r="AF37" s="64">
        <f t="shared" si="52"/>
        <v>64</v>
      </c>
      <c r="AG37" s="64">
        <f t="shared" si="52"/>
        <v>57</v>
      </c>
      <c r="AH37" s="64">
        <f t="shared" si="52"/>
        <v>47</v>
      </c>
      <c r="AI37" s="64">
        <f t="shared" si="52"/>
        <v>51</v>
      </c>
      <c r="AJ37" s="64">
        <f t="shared" si="52"/>
        <v>50</v>
      </c>
      <c r="AK37" s="64">
        <f t="shared" si="52"/>
        <v>78</v>
      </c>
      <c r="AL37" s="64">
        <f t="shared" si="52"/>
        <v>45</v>
      </c>
      <c r="AM37" s="64">
        <f t="shared" si="52"/>
        <v>0</v>
      </c>
      <c r="AN37" s="64">
        <f t="shared" si="52"/>
        <v>0</v>
      </c>
      <c r="AO37" s="64">
        <f t="shared" si="52"/>
        <v>0</v>
      </c>
      <c r="AP37" s="64">
        <f t="shared" si="52"/>
        <v>0</v>
      </c>
      <c r="AU37" s="7"/>
    </row>
    <row r="38" spans="1:47" x14ac:dyDescent="0.2">
      <c r="A38" s="7"/>
      <c r="D38" s="8" t="s">
        <v>187</v>
      </c>
      <c r="E38" s="64">
        <f>SMALL($E$9:$E$25,6)</f>
        <v>52</v>
      </c>
      <c r="F38" s="64">
        <f>SMALL(F$9:F$25,6)</f>
        <v>45</v>
      </c>
      <c r="G38" s="64">
        <f>SMALL(G$9:G$25,6)</f>
        <v>44</v>
      </c>
      <c r="H38" s="64">
        <f t="shared" ref="H38:AP38" si="53">SMALL(H$9:H$25,6)</f>
        <v>64</v>
      </c>
      <c r="I38" s="64">
        <f t="shared" si="53"/>
        <v>45</v>
      </c>
      <c r="J38" s="64">
        <f t="shared" si="53"/>
        <v>45</v>
      </c>
      <c r="K38" s="64">
        <f t="shared" si="53"/>
        <v>62</v>
      </c>
      <c r="L38" s="64">
        <f t="shared" si="53"/>
        <v>57</v>
      </c>
      <c r="M38" s="64">
        <f t="shared" si="53"/>
        <v>42</v>
      </c>
      <c r="N38" s="64">
        <f t="shared" si="53"/>
        <v>63</v>
      </c>
      <c r="O38" s="64">
        <f t="shared" si="53"/>
        <v>36</v>
      </c>
      <c r="P38" s="64">
        <f t="shared" si="53"/>
        <v>30</v>
      </c>
      <c r="Q38" s="64">
        <f t="shared" si="53"/>
        <v>30</v>
      </c>
      <c r="R38" s="64">
        <f t="shared" si="53"/>
        <v>57</v>
      </c>
      <c r="S38" s="64">
        <f t="shared" si="53"/>
        <v>47</v>
      </c>
      <c r="T38" s="64">
        <f t="shared" si="53"/>
        <v>64</v>
      </c>
      <c r="U38" s="64">
        <f t="shared" si="53"/>
        <v>74</v>
      </c>
      <c r="V38" s="64">
        <f t="shared" si="53"/>
        <v>36</v>
      </c>
      <c r="W38" s="64">
        <f t="shared" si="53"/>
        <v>33</v>
      </c>
      <c r="X38" s="64">
        <f t="shared" si="53"/>
        <v>43</v>
      </c>
      <c r="Y38" s="64">
        <f t="shared" si="53"/>
        <v>53</v>
      </c>
      <c r="Z38" s="64">
        <f t="shared" si="53"/>
        <v>33</v>
      </c>
      <c r="AA38" s="64">
        <f t="shared" si="53"/>
        <v>37</v>
      </c>
      <c r="AB38" s="64">
        <f t="shared" si="53"/>
        <v>52</v>
      </c>
      <c r="AC38" s="64">
        <f t="shared" si="53"/>
        <v>68</v>
      </c>
      <c r="AD38" s="64">
        <f t="shared" si="53"/>
        <v>53</v>
      </c>
      <c r="AE38" s="64">
        <f t="shared" si="53"/>
        <v>40</v>
      </c>
      <c r="AF38" s="64">
        <f t="shared" si="53"/>
        <v>66</v>
      </c>
      <c r="AG38" s="64">
        <f t="shared" si="53"/>
        <v>63</v>
      </c>
      <c r="AH38" s="64">
        <f t="shared" si="53"/>
        <v>48</v>
      </c>
      <c r="AI38" s="64">
        <f t="shared" si="53"/>
        <v>51</v>
      </c>
      <c r="AJ38" s="64">
        <f t="shared" si="53"/>
        <v>52</v>
      </c>
      <c r="AK38" s="64">
        <f t="shared" si="53"/>
        <v>80</v>
      </c>
      <c r="AL38" s="64">
        <f t="shared" si="53"/>
        <v>46</v>
      </c>
      <c r="AM38" s="64">
        <f t="shared" si="53"/>
        <v>0</v>
      </c>
      <c r="AN38" s="64">
        <f t="shared" si="53"/>
        <v>0</v>
      </c>
      <c r="AO38" s="64">
        <f t="shared" si="53"/>
        <v>0</v>
      </c>
      <c r="AP38" s="64">
        <f t="shared" si="53"/>
        <v>0</v>
      </c>
      <c r="AU38" s="7"/>
    </row>
    <row r="39" spans="1:47" x14ac:dyDescent="0.2">
      <c r="A39" s="7"/>
      <c r="D39" s="8" t="s">
        <v>188</v>
      </c>
      <c r="E39" s="64">
        <f>SMALL($E$9:$E$25,7)</f>
        <v>55</v>
      </c>
      <c r="F39" s="64">
        <f>SMALL(F$9:F$25,7)</f>
        <v>47</v>
      </c>
      <c r="G39" s="64">
        <f>SMALL(G$9:G$25,7)</f>
        <v>45</v>
      </c>
      <c r="H39" s="64">
        <f t="shared" ref="H39:AP39" si="54">SMALL(H$9:H$25,7)</f>
        <v>65</v>
      </c>
      <c r="I39" s="64">
        <f t="shared" si="54"/>
        <v>46</v>
      </c>
      <c r="J39" s="64">
        <f t="shared" si="54"/>
        <v>46</v>
      </c>
      <c r="K39" s="64">
        <f t="shared" si="54"/>
        <v>63</v>
      </c>
      <c r="L39" s="64">
        <f t="shared" si="54"/>
        <v>57</v>
      </c>
      <c r="M39" s="64">
        <f t="shared" si="54"/>
        <v>42</v>
      </c>
      <c r="N39" s="64">
        <f t="shared" si="54"/>
        <v>64</v>
      </c>
      <c r="O39" s="64">
        <f t="shared" si="54"/>
        <v>38</v>
      </c>
      <c r="P39" s="64">
        <f t="shared" si="54"/>
        <v>31</v>
      </c>
      <c r="Q39" s="64">
        <f t="shared" si="54"/>
        <v>34</v>
      </c>
      <c r="R39" s="64">
        <f t="shared" si="54"/>
        <v>62</v>
      </c>
      <c r="S39" s="64">
        <f t="shared" si="54"/>
        <v>52</v>
      </c>
      <c r="T39" s="64">
        <f t="shared" si="54"/>
        <v>66</v>
      </c>
      <c r="U39" s="64">
        <f t="shared" si="54"/>
        <v>77</v>
      </c>
      <c r="V39" s="64">
        <f t="shared" si="54"/>
        <v>39</v>
      </c>
      <c r="W39" s="64">
        <f t="shared" si="54"/>
        <v>36</v>
      </c>
      <c r="X39" s="64">
        <f t="shared" si="54"/>
        <v>44</v>
      </c>
      <c r="Y39" s="64">
        <f t="shared" si="54"/>
        <v>56</v>
      </c>
      <c r="Z39" s="64">
        <f t="shared" si="54"/>
        <v>34</v>
      </c>
      <c r="AA39" s="64">
        <f t="shared" si="54"/>
        <v>38</v>
      </c>
      <c r="AB39" s="64">
        <f t="shared" si="54"/>
        <v>52</v>
      </c>
      <c r="AC39" s="64">
        <f t="shared" si="54"/>
        <v>68</v>
      </c>
      <c r="AD39" s="64">
        <f t="shared" si="54"/>
        <v>55</v>
      </c>
      <c r="AE39" s="64">
        <f t="shared" si="54"/>
        <v>41</v>
      </c>
      <c r="AF39" s="64">
        <f t="shared" si="54"/>
        <v>66</v>
      </c>
      <c r="AG39" s="64">
        <f t="shared" si="54"/>
        <v>63</v>
      </c>
      <c r="AH39" s="64">
        <f t="shared" si="54"/>
        <v>48</v>
      </c>
      <c r="AI39" s="64">
        <f t="shared" si="54"/>
        <v>52</v>
      </c>
      <c r="AJ39" s="64">
        <f t="shared" si="54"/>
        <v>52</v>
      </c>
      <c r="AK39" s="64">
        <f t="shared" si="54"/>
        <v>82</v>
      </c>
      <c r="AL39" s="64">
        <f t="shared" si="54"/>
        <v>51</v>
      </c>
      <c r="AM39" s="64">
        <f t="shared" si="54"/>
        <v>0</v>
      </c>
      <c r="AN39" s="64">
        <f t="shared" si="54"/>
        <v>0</v>
      </c>
      <c r="AO39" s="64">
        <f t="shared" si="54"/>
        <v>0</v>
      </c>
      <c r="AP39" s="64">
        <f t="shared" si="54"/>
        <v>0</v>
      </c>
      <c r="AU39" s="7"/>
    </row>
    <row r="40" spans="1:47" x14ac:dyDescent="0.2">
      <c r="A40" s="7"/>
      <c r="D40" s="8" t="s">
        <v>189</v>
      </c>
      <c r="E40" s="64">
        <f>SMALL($E$9:$E$25,8)</f>
        <v>55</v>
      </c>
      <c r="F40" s="64">
        <f>SMALL(F$9:F$25,8)</f>
        <v>48</v>
      </c>
      <c r="G40" s="64">
        <f>SMALL(G$9:G$25,8)</f>
        <v>46</v>
      </c>
      <c r="H40" s="64">
        <f t="shared" ref="H40:AP40" si="55">SMALL(H$9:H$25,8)</f>
        <v>66</v>
      </c>
      <c r="I40" s="64">
        <f t="shared" si="55"/>
        <v>50</v>
      </c>
      <c r="J40" s="64">
        <f t="shared" si="55"/>
        <v>53</v>
      </c>
      <c r="K40" s="64">
        <f t="shared" si="55"/>
        <v>64</v>
      </c>
      <c r="L40" s="64">
        <f t="shared" si="55"/>
        <v>58</v>
      </c>
      <c r="M40" s="64">
        <f t="shared" si="55"/>
        <v>43</v>
      </c>
      <c r="N40" s="64">
        <f t="shared" si="55"/>
        <v>65</v>
      </c>
      <c r="O40" s="64">
        <f t="shared" si="55"/>
        <v>38</v>
      </c>
      <c r="P40" s="64">
        <f t="shared" si="55"/>
        <v>33</v>
      </c>
      <c r="Q40" s="64">
        <f t="shared" si="55"/>
        <v>34</v>
      </c>
      <c r="R40" s="64">
        <f t="shared" si="55"/>
        <v>63</v>
      </c>
      <c r="S40" s="64">
        <f t="shared" si="55"/>
        <v>52</v>
      </c>
      <c r="T40" s="64">
        <f t="shared" si="55"/>
        <v>67</v>
      </c>
      <c r="U40" s="64">
        <f t="shared" si="55"/>
        <v>78</v>
      </c>
      <c r="V40" s="64">
        <f t="shared" si="55"/>
        <v>40</v>
      </c>
      <c r="W40" s="64">
        <f t="shared" si="55"/>
        <v>37</v>
      </c>
      <c r="X40" s="64">
        <f t="shared" si="55"/>
        <v>44</v>
      </c>
      <c r="Y40" s="64">
        <f t="shared" si="55"/>
        <v>59</v>
      </c>
      <c r="Z40" s="64">
        <f t="shared" si="55"/>
        <v>35</v>
      </c>
      <c r="AA40" s="64">
        <f t="shared" si="55"/>
        <v>42</v>
      </c>
      <c r="AB40" s="64">
        <f t="shared" si="55"/>
        <v>52</v>
      </c>
      <c r="AC40" s="64">
        <f t="shared" si="55"/>
        <v>69</v>
      </c>
      <c r="AD40" s="64">
        <f t="shared" si="55"/>
        <v>55</v>
      </c>
      <c r="AE40" s="64">
        <f t="shared" si="55"/>
        <v>42</v>
      </c>
      <c r="AF40" s="64">
        <f t="shared" si="55"/>
        <v>67</v>
      </c>
      <c r="AG40" s="64">
        <f t="shared" si="55"/>
        <v>68</v>
      </c>
      <c r="AH40" s="64">
        <f t="shared" si="55"/>
        <v>49</v>
      </c>
      <c r="AI40" s="64">
        <f t="shared" si="55"/>
        <v>53</v>
      </c>
      <c r="AJ40" s="64">
        <f t="shared" si="55"/>
        <v>58</v>
      </c>
      <c r="AK40" s="64">
        <f t="shared" si="55"/>
        <v>83</v>
      </c>
      <c r="AL40" s="64">
        <f t="shared" si="55"/>
        <v>52</v>
      </c>
      <c r="AM40" s="64">
        <f t="shared" si="55"/>
        <v>0</v>
      </c>
      <c r="AN40" s="64">
        <f t="shared" si="55"/>
        <v>0</v>
      </c>
      <c r="AO40" s="64">
        <f t="shared" si="55"/>
        <v>0</v>
      </c>
      <c r="AP40" s="64">
        <f t="shared" si="55"/>
        <v>0</v>
      </c>
      <c r="AU40" s="7"/>
    </row>
    <row r="41" spans="1:47" x14ac:dyDescent="0.2">
      <c r="A41" s="7"/>
      <c r="D41" s="8" t="s">
        <v>190</v>
      </c>
      <c r="E41" s="64">
        <f>SMALL($E$9:$E$25,9)</f>
        <v>56</v>
      </c>
      <c r="F41" s="64">
        <f>SMALL(F$9:F$25,9)</f>
        <v>49</v>
      </c>
      <c r="G41" s="64">
        <f>SMALL(G$9:G$25,9)</f>
        <v>46</v>
      </c>
      <c r="H41" s="64">
        <f t="shared" ref="H41:AP41" si="56">SMALL(H$9:H$25,9)</f>
        <v>69</v>
      </c>
      <c r="I41" s="64">
        <f t="shared" si="56"/>
        <v>50</v>
      </c>
      <c r="J41" s="64">
        <f t="shared" si="56"/>
        <v>53</v>
      </c>
      <c r="K41" s="64">
        <f t="shared" si="56"/>
        <v>65</v>
      </c>
      <c r="L41" s="64">
        <f t="shared" si="56"/>
        <v>58</v>
      </c>
      <c r="M41" s="64">
        <f t="shared" si="56"/>
        <v>43</v>
      </c>
      <c r="N41" s="64">
        <f t="shared" si="56"/>
        <v>67</v>
      </c>
      <c r="O41" s="64">
        <f t="shared" si="56"/>
        <v>39</v>
      </c>
      <c r="P41" s="64">
        <f t="shared" si="56"/>
        <v>34</v>
      </c>
      <c r="Q41" s="64">
        <f t="shared" si="56"/>
        <v>40</v>
      </c>
      <c r="R41" s="64">
        <f t="shared" si="56"/>
        <v>68</v>
      </c>
      <c r="S41" s="64">
        <f t="shared" si="56"/>
        <v>53</v>
      </c>
      <c r="T41" s="64">
        <f t="shared" si="56"/>
        <v>73</v>
      </c>
      <c r="U41" s="64">
        <f t="shared" si="56"/>
        <v>79</v>
      </c>
      <c r="V41" s="64">
        <f t="shared" si="56"/>
        <v>42</v>
      </c>
      <c r="W41" s="64">
        <f t="shared" si="56"/>
        <v>38</v>
      </c>
      <c r="X41" s="64">
        <f t="shared" si="56"/>
        <v>49</v>
      </c>
      <c r="Y41" s="64">
        <f t="shared" si="56"/>
        <v>60</v>
      </c>
      <c r="Z41" s="64">
        <f t="shared" si="56"/>
        <v>35</v>
      </c>
      <c r="AA41" s="64">
        <f t="shared" si="56"/>
        <v>44</v>
      </c>
      <c r="AB41" s="64">
        <f t="shared" si="56"/>
        <v>53</v>
      </c>
      <c r="AC41" s="64">
        <f t="shared" si="56"/>
        <v>69</v>
      </c>
      <c r="AD41" s="64">
        <f t="shared" si="56"/>
        <v>55</v>
      </c>
      <c r="AE41" s="64">
        <f t="shared" si="56"/>
        <v>42</v>
      </c>
      <c r="AF41" s="64">
        <f t="shared" si="56"/>
        <v>70</v>
      </c>
      <c r="AG41" s="64">
        <f t="shared" si="56"/>
        <v>68</v>
      </c>
      <c r="AH41" s="64">
        <f t="shared" si="56"/>
        <v>49</v>
      </c>
      <c r="AI41" s="64">
        <f t="shared" si="56"/>
        <v>54</v>
      </c>
      <c r="AJ41" s="64">
        <f t="shared" si="56"/>
        <v>58</v>
      </c>
      <c r="AK41" s="64">
        <f t="shared" si="56"/>
        <v>87</v>
      </c>
      <c r="AL41" s="64">
        <f t="shared" si="56"/>
        <v>55</v>
      </c>
      <c r="AM41" s="64">
        <f t="shared" si="56"/>
        <v>0</v>
      </c>
      <c r="AN41" s="64">
        <f t="shared" si="56"/>
        <v>0</v>
      </c>
      <c r="AO41" s="64">
        <f t="shared" si="56"/>
        <v>0</v>
      </c>
      <c r="AP41" s="64">
        <f t="shared" si="56"/>
        <v>0</v>
      </c>
      <c r="AU41" s="7"/>
    </row>
    <row r="42" spans="1:47" x14ac:dyDescent="0.2">
      <c r="A42" s="7"/>
      <c r="D42" s="8" t="s">
        <v>191</v>
      </c>
      <c r="E42" s="64">
        <f>SMALL($E$9:$E$25,10)</f>
        <v>56</v>
      </c>
      <c r="F42" s="64">
        <f>SMALL(F$9:F$25,10)</f>
        <v>52</v>
      </c>
      <c r="G42" s="64">
        <f>SMALL(G$9:G$25,10)</f>
        <v>47</v>
      </c>
      <c r="H42" s="64">
        <f t="shared" ref="H42:AP42" si="57">SMALL(H$9:H$25,10)</f>
        <v>70</v>
      </c>
      <c r="I42" s="64">
        <f t="shared" si="57"/>
        <v>52</v>
      </c>
      <c r="J42" s="64">
        <f t="shared" si="57"/>
        <v>56</v>
      </c>
      <c r="K42" s="64">
        <f t="shared" si="57"/>
        <v>65</v>
      </c>
      <c r="L42" s="64">
        <f t="shared" si="57"/>
        <v>60</v>
      </c>
      <c r="M42" s="64">
        <f t="shared" si="57"/>
        <v>44</v>
      </c>
      <c r="N42" s="64">
        <f t="shared" si="57"/>
        <v>68</v>
      </c>
      <c r="O42" s="64">
        <f t="shared" si="57"/>
        <v>40</v>
      </c>
      <c r="P42" s="64">
        <f t="shared" si="57"/>
        <v>35</v>
      </c>
      <c r="Q42" s="64">
        <f t="shared" si="57"/>
        <v>40</v>
      </c>
      <c r="R42" s="64">
        <f t="shared" si="57"/>
        <v>69</v>
      </c>
      <c r="S42" s="64">
        <f t="shared" si="57"/>
        <v>56</v>
      </c>
      <c r="T42" s="64">
        <f t="shared" si="57"/>
        <v>73</v>
      </c>
      <c r="U42" s="64">
        <f t="shared" si="57"/>
        <v>79</v>
      </c>
      <c r="V42" s="64">
        <f t="shared" si="57"/>
        <v>43</v>
      </c>
      <c r="W42" s="64">
        <f t="shared" si="57"/>
        <v>38</v>
      </c>
      <c r="X42" s="64">
        <f t="shared" si="57"/>
        <v>51</v>
      </c>
      <c r="Y42" s="64">
        <f t="shared" si="57"/>
        <v>60</v>
      </c>
      <c r="Z42" s="64">
        <f t="shared" si="57"/>
        <v>37</v>
      </c>
      <c r="AA42" s="64">
        <f t="shared" si="57"/>
        <v>46</v>
      </c>
      <c r="AB42" s="64">
        <f t="shared" si="57"/>
        <v>54</v>
      </c>
      <c r="AC42" s="64">
        <f t="shared" si="57"/>
        <v>72</v>
      </c>
      <c r="AD42" s="64">
        <f t="shared" si="57"/>
        <v>56</v>
      </c>
      <c r="AE42" s="64">
        <f t="shared" si="57"/>
        <v>42</v>
      </c>
      <c r="AF42" s="64">
        <f t="shared" si="57"/>
        <v>75</v>
      </c>
      <c r="AG42" s="64">
        <f t="shared" si="57"/>
        <v>69</v>
      </c>
      <c r="AH42" s="64">
        <f t="shared" si="57"/>
        <v>50</v>
      </c>
      <c r="AI42" s="64">
        <f t="shared" si="57"/>
        <v>55</v>
      </c>
      <c r="AJ42" s="64">
        <f t="shared" si="57"/>
        <v>59</v>
      </c>
      <c r="AK42" s="64">
        <f t="shared" si="57"/>
        <v>90</v>
      </c>
      <c r="AL42" s="64">
        <f t="shared" si="57"/>
        <v>56</v>
      </c>
      <c r="AM42" s="64">
        <f t="shared" si="57"/>
        <v>0</v>
      </c>
      <c r="AN42" s="64">
        <f t="shared" si="57"/>
        <v>0</v>
      </c>
      <c r="AO42" s="64">
        <f t="shared" si="57"/>
        <v>0</v>
      </c>
      <c r="AP42" s="64">
        <f t="shared" si="57"/>
        <v>0</v>
      </c>
      <c r="AU42" s="7"/>
    </row>
    <row r="43" spans="1:47" x14ac:dyDescent="0.2">
      <c r="A43" s="7"/>
      <c r="B43" s="7"/>
      <c r="C43" s="7"/>
      <c r="D43" s="8" t="s">
        <v>192</v>
      </c>
      <c r="E43" s="64">
        <f>SMALL($E$9:$E$25,11)</f>
        <v>58</v>
      </c>
      <c r="F43" s="64">
        <f>SMALL(F$9:F$25,11)</f>
        <v>52</v>
      </c>
      <c r="G43" s="64">
        <f>SMALL(G$9:G$25,11)</f>
        <v>50</v>
      </c>
      <c r="H43" s="64">
        <f t="shared" ref="H43:AP43" si="58">SMALL(H$9:H$25,11)</f>
        <v>71</v>
      </c>
      <c r="I43" s="64">
        <f t="shared" si="58"/>
        <v>52</v>
      </c>
      <c r="J43" s="64">
        <f t="shared" si="58"/>
        <v>57</v>
      </c>
      <c r="K43" s="64">
        <f t="shared" si="58"/>
        <v>67</v>
      </c>
      <c r="L43" s="64">
        <f t="shared" si="58"/>
        <v>60</v>
      </c>
      <c r="M43" s="64">
        <f t="shared" si="58"/>
        <v>45</v>
      </c>
      <c r="N43" s="64">
        <f t="shared" si="58"/>
        <v>71</v>
      </c>
      <c r="O43" s="64">
        <f t="shared" si="58"/>
        <v>41</v>
      </c>
      <c r="P43" s="64">
        <f t="shared" si="58"/>
        <v>37</v>
      </c>
      <c r="Q43" s="64">
        <f t="shared" si="58"/>
        <v>43</v>
      </c>
      <c r="R43" s="64">
        <f t="shared" si="58"/>
        <v>70</v>
      </c>
      <c r="S43" s="64">
        <f t="shared" si="58"/>
        <v>57</v>
      </c>
      <c r="T43" s="64">
        <f t="shared" si="58"/>
        <v>76</v>
      </c>
      <c r="U43" s="64">
        <f t="shared" si="58"/>
        <v>80</v>
      </c>
      <c r="V43" s="64">
        <f t="shared" si="58"/>
        <v>43</v>
      </c>
      <c r="W43" s="64">
        <f t="shared" si="58"/>
        <v>39</v>
      </c>
      <c r="X43" s="64">
        <f t="shared" si="58"/>
        <v>52</v>
      </c>
      <c r="Y43" s="64">
        <f t="shared" si="58"/>
        <v>61</v>
      </c>
      <c r="Z43" s="64">
        <f t="shared" si="58"/>
        <v>38</v>
      </c>
      <c r="AA43" s="64">
        <f t="shared" si="58"/>
        <v>48</v>
      </c>
      <c r="AB43" s="64">
        <f t="shared" si="58"/>
        <v>59</v>
      </c>
      <c r="AC43" s="64">
        <f t="shared" si="58"/>
        <v>74</v>
      </c>
      <c r="AD43" s="64">
        <f t="shared" si="58"/>
        <v>62</v>
      </c>
      <c r="AE43" s="64">
        <f t="shared" si="58"/>
        <v>44</v>
      </c>
      <c r="AF43" s="64">
        <f t="shared" si="58"/>
        <v>75</v>
      </c>
      <c r="AG43" s="64">
        <f t="shared" si="58"/>
        <v>74</v>
      </c>
      <c r="AH43" s="64">
        <f t="shared" si="58"/>
        <v>51</v>
      </c>
      <c r="AI43" s="64">
        <f t="shared" si="58"/>
        <v>55</v>
      </c>
      <c r="AJ43" s="64">
        <f t="shared" si="58"/>
        <v>61</v>
      </c>
      <c r="AK43" s="64">
        <f t="shared" si="58"/>
        <v>91</v>
      </c>
      <c r="AL43" s="64">
        <f t="shared" si="58"/>
        <v>56</v>
      </c>
      <c r="AM43" s="64">
        <f t="shared" si="58"/>
        <v>0</v>
      </c>
      <c r="AN43" s="64">
        <f t="shared" si="58"/>
        <v>0</v>
      </c>
      <c r="AO43" s="64">
        <f t="shared" si="58"/>
        <v>0</v>
      </c>
      <c r="AP43" s="64">
        <f t="shared" si="58"/>
        <v>0</v>
      </c>
      <c r="AU43" s="7"/>
    </row>
    <row r="44" spans="1:47" x14ac:dyDescent="0.2">
      <c r="A44" s="7"/>
      <c r="B44" s="7"/>
      <c r="C44" s="7"/>
      <c r="D44" s="8" t="s">
        <v>193</v>
      </c>
      <c r="E44" s="64">
        <f>SMALL($E$9:$E$25,12)</f>
        <v>62</v>
      </c>
      <c r="F44" s="64">
        <f>SMALL(F$9:F$25,12)</f>
        <v>53</v>
      </c>
      <c r="G44" s="64">
        <f>SMALL(G$9:G$25,12)</f>
        <v>50</v>
      </c>
      <c r="H44" s="64">
        <f t="shared" ref="H44:AP44" si="59">SMALL(H$9:H$25,12)</f>
        <v>73</v>
      </c>
      <c r="I44" s="64">
        <f t="shared" si="59"/>
        <v>52</v>
      </c>
      <c r="J44" s="64">
        <f t="shared" si="59"/>
        <v>59</v>
      </c>
      <c r="K44" s="64">
        <f t="shared" si="59"/>
        <v>69</v>
      </c>
      <c r="L44" s="64">
        <f t="shared" si="59"/>
        <v>60</v>
      </c>
      <c r="M44" s="64">
        <f t="shared" si="59"/>
        <v>46</v>
      </c>
      <c r="N44" s="64">
        <f t="shared" si="59"/>
        <v>71</v>
      </c>
      <c r="O44" s="64">
        <f t="shared" si="59"/>
        <v>43</v>
      </c>
      <c r="P44" s="64">
        <f t="shared" si="59"/>
        <v>38</v>
      </c>
      <c r="Q44" s="64">
        <f t="shared" si="59"/>
        <v>48</v>
      </c>
      <c r="R44" s="64">
        <f t="shared" si="59"/>
        <v>73</v>
      </c>
      <c r="S44" s="64">
        <f t="shared" si="59"/>
        <v>57</v>
      </c>
      <c r="T44" s="64">
        <f t="shared" si="59"/>
        <v>76</v>
      </c>
      <c r="U44" s="64">
        <f t="shared" si="59"/>
        <v>80</v>
      </c>
      <c r="V44" s="64">
        <f t="shared" si="59"/>
        <v>45</v>
      </c>
      <c r="W44" s="64">
        <f t="shared" si="59"/>
        <v>39</v>
      </c>
      <c r="X44" s="64">
        <f t="shared" si="59"/>
        <v>53</v>
      </c>
      <c r="Y44" s="64">
        <f t="shared" si="59"/>
        <v>62</v>
      </c>
      <c r="Z44" s="64">
        <f t="shared" si="59"/>
        <v>39</v>
      </c>
      <c r="AA44" s="64">
        <f t="shared" si="59"/>
        <v>49</v>
      </c>
      <c r="AB44" s="64">
        <f t="shared" si="59"/>
        <v>64</v>
      </c>
      <c r="AC44" s="64">
        <f t="shared" si="59"/>
        <v>75</v>
      </c>
      <c r="AD44" s="64">
        <f t="shared" si="59"/>
        <v>63</v>
      </c>
      <c r="AE44" s="64">
        <f t="shared" si="59"/>
        <v>44</v>
      </c>
      <c r="AF44" s="64">
        <f t="shared" si="59"/>
        <v>76</v>
      </c>
      <c r="AG44" s="64">
        <f t="shared" si="59"/>
        <v>74</v>
      </c>
      <c r="AH44" s="64">
        <f t="shared" si="59"/>
        <v>55</v>
      </c>
      <c r="AI44" s="64">
        <f t="shared" si="59"/>
        <v>55</v>
      </c>
      <c r="AJ44" s="64">
        <f t="shared" si="59"/>
        <v>65</v>
      </c>
      <c r="AK44" s="64">
        <f t="shared" si="59"/>
        <v>107</v>
      </c>
      <c r="AL44" s="64">
        <f t="shared" si="59"/>
        <v>58</v>
      </c>
      <c r="AM44" s="64">
        <f t="shared" si="59"/>
        <v>0</v>
      </c>
      <c r="AN44" s="64">
        <f t="shared" si="59"/>
        <v>0</v>
      </c>
      <c r="AO44" s="64">
        <f t="shared" si="59"/>
        <v>0</v>
      </c>
      <c r="AP44" s="64">
        <f t="shared" si="59"/>
        <v>0</v>
      </c>
      <c r="AU44" s="7"/>
    </row>
    <row r="45" spans="1:47" x14ac:dyDescent="0.2">
      <c r="A45" s="7"/>
      <c r="B45" s="7"/>
      <c r="C45" s="7"/>
      <c r="D45" s="8" t="s">
        <v>194</v>
      </c>
      <c r="E45" s="64">
        <f>SMALL($E$9:$E$25,13)</f>
        <v>63</v>
      </c>
      <c r="F45" s="64">
        <f>SMALL(F$9:F$25,13)</f>
        <v>53</v>
      </c>
      <c r="G45" s="64">
        <f>SMALL(G$9:G$25,13)</f>
        <v>52</v>
      </c>
      <c r="H45" s="64">
        <f t="shared" ref="H45:AP45" si="60">SMALL(H$9:H$25,13)</f>
        <v>75</v>
      </c>
      <c r="I45" s="64">
        <f t="shared" si="60"/>
        <v>54</v>
      </c>
      <c r="J45" s="64">
        <f t="shared" si="60"/>
        <v>59</v>
      </c>
      <c r="K45" s="64">
        <f t="shared" si="60"/>
        <v>77</v>
      </c>
      <c r="L45" s="64">
        <f t="shared" si="60"/>
        <v>62</v>
      </c>
      <c r="M45" s="64">
        <f t="shared" si="60"/>
        <v>49</v>
      </c>
      <c r="N45" s="64">
        <f t="shared" si="60"/>
        <v>78</v>
      </c>
      <c r="O45" s="64">
        <f t="shared" si="60"/>
        <v>43</v>
      </c>
      <c r="P45" s="64">
        <f t="shared" si="60"/>
        <v>38</v>
      </c>
      <c r="Q45" s="64">
        <f t="shared" si="60"/>
        <v>50</v>
      </c>
      <c r="R45" s="64">
        <f t="shared" si="60"/>
        <v>74</v>
      </c>
      <c r="S45" s="64">
        <f t="shared" si="60"/>
        <v>60</v>
      </c>
      <c r="T45" s="64">
        <f t="shared" si="60"/>
        <v>76</v>
      </c>
      <c r="U45" s="64">
        <f t="shared" si="60"/>
        <v>80</v>
      </c>
      <c r="V45" s="64">
        <f t="shared" si="60"/>
        <v>45</v>
      </c>
      <c r="W45" s="64">
        <f t="shared" si="60"/>
        <v>40</v>
      </c>
      <c r="X45" s="64">
        <f t="shared" si="60"/>
        <v>54</v>
      </c>
      <c r="Y45" s="64">
        <f t="shared" si="60"/>
        <v>63</v>
      </c>
      <c r="Z45" s="64">
        <f t="shared" si="60"/>
        <v>40</v>
      </c>
      <c r="AA45" s="64">
        <f t="shared" si="60"/>
        <v>49</v>
      </c>
      <c r="AB45" s="64">
        <f t="shared" si="60"/>
        <v>64</v>
      </c>
      <c r="AC45" s="64">
        <f t="shared" si="60"/>
        <v>76</v>
      </c>
      <c r="AD45" s="64">
        <f t="shared" si="60"/>
        <v>66</v>
      </c>
      <c r="AE45" s="64">
        <f t="shared" si="60"/>
        <v>46</v>
      </c>
      <c r="AF45" s="64">
        <f t="shared" si="60"/>
        <v>77</v>
      </c>
      <c r="AG45" s="64">
        <f t="shared" si="60"/>
        <v>74</v>
      </c>
      <c r="AH45" s="64">
        <f t="shared" si="60"/>
        <v>59</v>
      </c>
      <c r="AI45" s="64">
        <f t="shared" si="60"/>
        <v>58</v>
      </c>
      <c r="AJ45" s="64">
        <f t="shared" si="60"/>
        <v>66</v>
      </c>
      <c r="AK45" s="64">
        <f t="shared" si="60"/>
        <v>109</v>
      </c>
      <c r="AL45" s="64">
        <f t="shared" si="60"/>
        <v>60</v>
      </c>
      <c r="AM45" s="64">
        <f t="shared" si="60"/>
        <v>0</v>
      </c>
      <c r="AN45" s="64">
        <f t="shared" si="60"/>
        <v>0</v>
      </c>
      <c r="AO45" s="64">
        <f t="shared" si="60"/>
        <v>0</v>
      </c>
      <c r="AP45" s="64">
        <f t="shared" si="60"/>
        <v>0</v>
      </c>
      <c r="AU45" s="7"/>
    </row>
    <row r="46" spans="1:47" x14ac:dyDescent="0.2">
      <c r="A46" s="7"/>
      <c r="B46" s="7"/>
      <c r="C46" s="7"/>
      <c r="D46" s="8" t="s">
        <v>195</v>
      </c>
      <c r="E46" s="64">
        <f>SMALL($E$9:$E$25,14)</f>
        <v>63</v>
      </c>
      <c r="F46" s="64">
        <f>SMALL(F$9:F$25,14)</f>
        <v>54</v>
      </c>
      <c r="G46" s="64">
        <f>SMALL(G$9:G$25,14)</f>
        <v>54</v>
      </c>
      <c r="H46" s="64">
        <f t="shared" ref="H46:AP46" si="61">SMALL(H$9:H$25,14)</f>
        <v>78</v>
      </c>
      <c r="I46" s="64">
        <f t="shared" si="61"/>
        <v>55</v>
      </c>
      <c r="J46" s="64">
        <f t="shared" si="61"/>
        <v>62</v>
      </c>
      <c r="K46" s="64">
        <f t="shared" si="61"/>
        <v>79</v>
      </c>
      <c r="L46" s="64">
        <f t="shared" si="61"/>
        <v>66</v>
      </c>
      <c r="M46" s="64">
        <f t="shared" si="61"/>
        <v>51</v>
      </c>
      <c r="N46" s="64">
        <f t="shared" si="61"/>
        <v>78</v>
      </c>
      <c r="O46" s="64">
        <f t="shared" si="61"/>
        <v>45</v>
      </c>
      <c r="P46" s="64">
        <f t="shared" si="61"/>
        <v>39</v>
      </c>
      <c r="Q46" s="64">
        <f t="shared" si="61"/>
        <v>50</v>
      </c>
      <c r="R46" s="64">
        <f t="shared" si="61"/>
        <v>75</v>
      </c>
      <c r="S46" s="64">
        <f t="shared" si="61"/>
        <v>61</v>
      </c>
      <c r="T46" s="64">
        <f t="shared" si="61"/>
        <v>78</v>
      </c>
      <c r="U46" s="64">
        <f t="shared" si="61"/>
        <v>82</v>
      </c>
      <c r="V46" s="64">
        <f t="shared" si="61"/>
        <v>52</v>
      </c>
      <c r="W46" s="64">
        <f t="shared" si="61"/>
        <v>42</v>
      </c>
      <c r="X46" s="64">
        <f t="shared" si="61"/>
        <v>56</v>
      </c>
      <c r="Y46" s="64">
        <f t="shared" si="61"/>
        <v>64</v>
      </c>
      <c r="Z46" s="64">
        <f t="shared" si="61"/>
        <v>41</v>
      </c>
      <c r="AA46" s="64">
        <f t="shared" si="61"/>
        <v>54</v>
      </c>
      <c r="AB46" s="64">
        <f t="shared" si="61"/>
        <v>65</v>
      </c>
      <c r="AC46" s="64">
        <f t="shared" si="61"/>
        <v>80</v>
      </c>
      <c r="AD46" s="64">
        <f t="shared" si="61"/>
        <v>67</v>
      </c>
      <c r="AE46" s="64">
        <f t="shared" si="61"/>
        <v>46</v>
      </c>
      <c r="AF46" s="64">
        <f t="shared" si="61"/>
        <v>79</v>
      </c>
      <c r="AG46" s="64">
        <f t="shared" si="61"/>
        <v>78</v>
      </c>
      <c r="AH46" s="64">
        <f t="shared" si="61"/>
        <v>61</v>
      </c>
      <c r="AI46" s="64">
        <f t="shared" si="61"/>
        <v>59</v>
      </c>
      <c r="AJ46" s="64">
        <f t="shared" si="61"/>
        <v>66</v>
      </c>
      <c r="AK46" s="64">
        <f t="shared" si="61"/>
        <v>112</v>
      </c>
      <c r="AL46" s="64">
        <f t="shared" si="61"/>
        <v>61</v>
      </c>
      <c r="AM46" s="64">
        <f t="shared" si="61"/>
        <v>0</v>
      </c>
      <c r="AN46" s="64">
        <f t="shared" si="61"/>
        <v>0</v>
      </c>
      <c r="AO46" s="64">
        <f t="shared" si="61"/>
        <v>0</v>
      </c>
      <c r="AP46" s="64">
        <f t="shared" si="61"/>
        <v>0</v>
      </c>
      <c r="AU46" s="7"/>
    </row>
    <row r="47" spans="1:47" x14ac:dyDescent="0.2">
      <c r="A47" s="7"/>
      <c r="B47" s="7"/>
      <c r="C47" s="7"/>
      <c r="D47" s="8" t="s">
        <v>196</v>
      </c>
      <c r="E47" s="64">
        <f>SMALL($E$9:$E$25,14)</f>
        <v>63</v>
      </c>
      <c r="F47" s="64">
        <f>SMALL(F$9:F$25,15)</f>
        <v>54</v>
      </c>
      <c r="G47" s="64">
        <f>SMALL(G$9:G$25,15)</f>
        <v>55</v>
      </c>
      <c r="H47" s="64">
        <f t="shared" ref="H47:AP47" si="62">SMALL(H$9:H$25,15)</f>
        <v>78</v>
      </c>
      <c r="I47" s="64">
        <f t="shared" si="62"/>
        <v>57</v>
      </c>
      <c r="J47" s="64">
        <f t="shared" si="62"/>
        <v>70</v>
      </c>
      <c r="K47" s="64">
        <f t="shared" si="62"/>
        <v>86</v>
      </c>
      <c r="L47" s="64">
        <f t="shared" si="62"/>
        <v>67</v>
      </c>
      <c r="M47" s="64">
        <f t="shared" si="62"/>
        <v>52</v>
      </c>
      <c r="N47" s="64">
        <f t="shared" si="62"/>
        <v>84</v>
      </c>
      <c r="O47" s="64">
        <f t="shared" si="62"/>
        <v>45</v>
      </c>
      <c r="P47" s="64">
        <f t="shared" si="62"/>
        <v>45</v>
      </c>
      <c r="Q47" s="64">
        <f t="shared" si="62"/>
        <v>59</v>
      </c>
      <c r="R47" s="64">
        <f t="shared" si="62"/>
        <v>80</v>
      </c>
      <c r="S47" s="64">
        <f t="shared" si="62"/>
        <v>67</v>
      </c>
      <c r="T47" s="64">
        <f t="shared" si="62"/>
        <v>85</v>
      </c>
      <c r="U47" s="64">
        <f t="shared" si="62"/>
        <v>90</v>
      </c>
      <c r="V47" s="64">
        <f t="shared" si="62"/>
        <v>52</v>
      </c>
      <c r="W47" s="64">
        <f t="shared" si="62"/>
        <v>49</v>
      </c>
      <c r="X47" s="64">
        <f t="shared" si="62"/>
        <v>57</v>
      </c>
      <c r="Y47" s="64">
        <f t="shared" si="62"/>
        <v>66</v>
      </c>
      <c r="Z47" s="64">
        <f t="shared" si="62"/>
        <v>42</v>
      </c>
      <c r="AA47" s="64">
        <f t="shared" si="62"/>
        <v>56</v>
      </c>
      <c r="AB47" s="64">
        <f t="shared" si="62"/>
        <v>69</v>
      </c>
      <c r="AC47" s="64">
        <f t="shared" si="62"/>
        <v>80</v>
      </c>
      <c r="AD47" s="64">
        <f t="shared" si="62"/>
        <v>70</v>
      </c>
      <c r="AE47" s="64">
        <f t="shared" si="62"/>
        <v>52</v>
      </c>
      <c r="AF47" s="64">
        <f t="shared" si="62"/>
        <v>79</v>
      </c>
      <c r="AG47" s="64">
        <f t="shared" si="62"/>
        <v>79</v>
      </c>
      <c r="AH47" s="64">
        <f t="shared" si="62"/>
        <v>61</v>
      </c>
      <c r="AI47" s="64">
        <f t="shared" si="62"/>
        <v>62</v>
      </c>
      <c r="AJ47" s="64">
        <f t="shared" si="62"/>
        <v>66</v>
      </c>
      <c r="AK47" s="64">
        <f t="shared" si="62"/>
        <v>115</v>
      </c>
      <c r="AL47" s="64">
        <f t="shared" si="62"/>
        <v>65</v>
      </c>
      <c r="AM47" s="64">
        <f t="shared" si="62"/>
        <v>0</v>
      </c>
      <c r="AN47" s="64">
        <f t="shared" si="62"/>
        <v>0</v>
      </c>
      <c r="AO47" s="64">
        <f t="shared" si="62"/>
        <v>0</v>
      </c>
      <c r="AP47" s="64">
        <f t="shared" si="62"/>
        <v>0</v>
      </c>
      <c r="AU47" s="7"/>
    </row>
    <row r="48" spans="1:47" x14ac:dyDescent="0.2">
      <c r="A48" s="7"/>
      <c r="B48" s="7"/>
      <c r="C48" s="7"/>
      <c r="D48" s="8" t="s">
        <v>197</v>
      </c>
      <c r="E48" s="64">
        <f>SMALL($E$9:$E$25,16)</f>
        <v>66</v>
      </c>
      <c r="F48" s="64">
        <f>SMALL(F$9:F$25,16)</f>
        <v>60</v>
      </c>
      <c r="G48" s="64">
        <f>SMALL(G$9:G$25,16)</f>
        <v>56</v>
      </c>
      <c r="H48" s="64">
        <f t="shared" ref="H48:AP48" si="63">SMALL(H$9:H$25,16)</f>
        <v>79</v>
      </c>
      <c r="I48" s="64">
        <f t="shared" si="63"/>
        <v>66</v>
      </c>
      <c r="J48" s="64">
        <f t="shared" si="63"/>
        <v>70</v>
      </c>
      <c r="K48" s="64">
        <f t="shared" si="63"/>
        <v>87</v>
      </c>
      <c r="L48" s="64">
        <f t="shared" si="63"/>
        <v>72</v>
      </c>
      <c r="M48" s="64">
        <f t="shared" si="63"/>
        <v>53</v>
      </c>
      <c r="N48" s="64">
        <f t="shared" si="63"/>
        <v>87</v>
      </c>
      <c r="O48" s="64">
        <f t="shared" si="63"/>
        <v>50</v>
      </c>
      <c r="P48" s="64">
        <f t="shared" si="63"/>
        <v>48</v>
      </c>
      <c r="Q48" s="64">
        <f t="shared" si="63"/>
        <v>60</v>
      </c>
      <c r="R48" s="64">
        <f t="shared" si="63"/>
        <v>87</v>
      </c>
      <c r="S48" s="64">
        <f t="shared" si="63"/>
        <v>68</v>
      </c>
      <c r="T48" s="64">
        <f t="shared" si="63"/>
        <v>91</v>
      </c>
      <c r="U48" s="64">
        <f t="shared" si="63"/>
        <v>94</v>
      </c>
      <c r="V48" s="64">
        <f t="shared" si="63"/>
        <v>53</v>
      </c>
      <c r="W48" s="64">
        <f t="shared" si="63"/>
        <v>50</v>
      </c>
      <c r="X48" s="64">
        <f t="shared" si="63"/>
        <v>63</v>
      </c>
      <c r="Y48" s="64">
        <f t="shared" si="63"/>
        <v>69</v>
      </c>
      <c r="Z48" s="64">
        <f t="shared" si="63"/>
        <v>46</v>
      </c>
      <c r="AA48" s="64">
        <f t="shared" si="63"/>
        <v>56</v>
      </c>
      <c r="AB48" s="64">
        <f t="shared" si="63"/>
        <v>71</v>
      </c>
      <c r="AC48" s="64">
        <f t="shared" si="63"/>
        <v>88</v>
      </c>
      <c r="AD48" s="64">
        <f t="shared" si="63"/>
        <v>71</v>
      </c>
      <c r="AE48" s="64">
        <f t="shared" si="63"/>
        <v>52</v>
      </c>
      <c r="AF48" s="64">
        <f t="shared" si="63"/>
        <v>79</v>
      </c>
      <c r="AG48" s="64">
        <f t="shared" si="63"/>
        <v>79</v>
      </c>
      <c r="AH48" s="64">
        <f t="shared" si="63"/>
        <v>76</v>
      </c>
      <c r="AI48" s="64">
        <f t="shared" si="63"/>
        <v>63</v>
      </c>
      <c r="AJ48" s="64">
        <f t="shared" si="63"/>
        <v>66</v>
      </c>
      <c r="AK48" s="64">
        <f t="shared" si="63"/>
        <v>121</v>
      </c>
      <c r="AL48" s="64">
        <f t="shared" si="63"/>
        <v>71</v>
      </c>
      <c r="AM48" s="64">
        <f t="shared" si="63"/>
        <v>0</v>
      </c>
      <c r="AN48" s="64">
        <f t="shared" si="63"/>
        <v>0</v>
      </c>
      <c r="AO48" s="64">
        <f t="shared" si="63"/>
        <v>0</v>
      </c>
      <c r="AP48" s="64">
        <f t="shared" si="63"/>
        <v>0</v>
      </c>
      <c r="AU48" s="7"/>
    </row>
    <row r="49" spans="1:47" x14ac:dyDescent="0.2">
      <c r="A49" s="7"/>
      <c r="B49" s="7"/>
      <c r="C49" s="7"/>
      <c r="D49" s="8" t="s">
        <v>198</v>
      </c>
      <c r="E49" s="64">
        <f>SMALL($E$9:$E$25,17)</f>
        <v>68</v>
      </c>
      <c r="F49" s="64">
        <f>SMALL(F$9:F$25,17)</f>
        <v>64</v>
      </c>
      <c r="G49" s="64">
        <f>SMALL(G$9:G$25,17)</f>
        <v>70</v>
      </c>
      <c r="H49" s="64">
        <f t="shared" ref="H49:AP49" si="64">SMALL(H$9:H$25,17)</f>
        <v>87</v>
      </c>
      <c r="I49" s="64">
        <f t="shared" si="64"/>
        <v>76</v>
      </c>
      <c r="J49" s="64">
        <f t="shared" si="64"/>
        <v>78</v>
      </c>
      <c r="K49" s="64">
        <f t="shared" si="64"/>
        <v>87</v>
      </c>
      <c r="L49" s="64">
        <f t="shared" si="64"/>
        <v>91</v>
      </c>
      <c r="M49" s="64">
        <f t="shared" si="64"/>
        <v>57</v>
      </c>
      <c r="N49" s="64">
        <f t="shared" si="64"/>
        <v>89</v>
      </c>
      <c r="O49" s="64">
        <f t="shared" si="64"/>
        <v>53</v>
      </c>
      <c r="P49" s="64">
        <f t="shared" si="64"/>
        <v>71</v>
      </c>
      <c r="Q49" s="64">
        <f t="shared" si="64"/>
        <v>74</v>
      </c>
      <c r="R49" s="64">
        <f t="shared" si="64"/>
        <v>87</v>
      </c>
      <c r="S49" s="64">
        <f t="shared" si="64"/>
        <v>71</v>
      </c>
      <c r="T49" s="64">
        <f t="shared" si="64"/>
        <v>92</v>
      </c>
      <c r="U49" s="64">
        <f t="shared" si="64"/>
        <v>100</v>
      </c>
      <c r="V49" s="64">
        <f t="shared" si="64"/>
        <v>55</v>
      </c>
      <c r="W49" s="64">
        <f t="shared" si="64"/>
        <v>57</v>
      </c>
      <c r="X49" s="64">
        <f t="shared" si="64"/>
        <v>67</v>
      </c>
      <c r="Y49" s="64">
        <f t="shared" si="64"/>
        <v>71</v>
      </c>
      <c r="Z49" s="64">
        <f t="shared" si="64"/>
        <v>51</v>
      </c>
      <c r="AA49" s="64">
        <f t="shared" si="64"/>
        <v>57</v>
      </c>
      <c r="AB49" s="64">
        <f t="shared" si="64"/>
        <v>75</v>
      </c>
      <c r="AC49" s="64">
        <f t="shared" si="64"/>
        <v>93</v>
      </c>
      <c r="AD49" s="64">
        <f t="shared" si="64"/>
        <v>74</v>
      </c>
      <c r="AE49" s="64">
        <f t="shared" si="64"/>
        <v>54</v>
      </c>
      <c r="AF49" s="64">
        <f t="shared" si="64"/>
        <v>79</v>
      </c>
      <c r="AG49" s="64">
        <f t="shared" si="64"/>
        <v>82</v>
      </c>
      <c r="AH49" s="64">
        <f t="shared" si="64"/>
        <v>78</v>
      </c>
      <c r="AI49" s="64">
        <f t="shared" si="64"/>
        <v>68</v>
      </c>
      <c r="AJ49" s="64">
        <f t="shared" si="64"/>
        <v>78</v>
      </c>
      <c r="AK49" s="64">
        <f t="shared" si="64"/>
        <v>134</v>
      </c>
      <c r="AL49" s="64">
        <f t="shared" si="64"/>
        <v>74</v>
      </c>
      <c r="AM49" s="64">
        <f t="shared" si="64"/>
        <v>0</v>
      </c>
      <c r="AN49" s="64">
        <f t="shared" si="64"/>
        <v>0</v>
      </c>
      <c r="AO49" s="64">
        <f t="shared" si="64"/>
        <v>0</v>
      </c>
      <c r="AP49" s="64">
        <f t="shared" si="64"/>
        <v>0</v>
      </c>
      <c r="AU49" s="7"/>
    </row>
    <row r="50" spans="1:47" x14ac:dyDescent="0.2">
      <c r="A50" s="7"/>
      <c r="B50" s="7"/>
      <c r="C50" s="7"/>
      <c r="D50" s="7"/>
      <c r="E50" s="7"/>
      <c r="F50" s="7"/>
      <c r="G50" s="7"/>
      <c r="H50" s="7"/>
      <c r="I50" s="7"/>
      <c r="J50" s="7"/>
      <c r="K50" s="7"/>
      <c r="L50" s="7"/>
      <c r="M50" s="7"/>
      <c r="N50" s="7"/>
      <c r="O50" s="7"/>
      <c r="P50" s="7"/>
      <c r="Q50" s="7"/>
      <c r="R50" s="7"/>
      <c r="S50" s="7"/>
      <c r="T50" s="7"/>
      <c r="U50" s="7"/>
      <c r="V50" s="7"/>
      <c r="AU50" s="7"/>
    </row>
    <row r="51" spans="1:47" x14ac:dyDescent="0.2">
      <c r="A51" s="7"/>
      <c r="B51" s="7"/>
      <c r="C51" s="7"/>
      <c r="D51" s="7"/>
      <c r="E51" s="7"/>
      <c r="F51" s="7"/>
      <c r="G51" s="7"/>
      <c r="H51" s="7"/>
      <c r="I51" s="7"/>
      <c r="J51" s="7"/>
      <c r="K51" s="7"/>
      <c r="L51" s="7"/>
      <c r="M51" s="7"/>
      <c r="N51" s="7"/>
      <c r="O51" s="7"/>
      <c r="P51" s="7"/>
      <c r="Q51" s="7"/>
      <c r="R51" s="7"/>
      <c r="S51" s="7"/>
      <c r="T51" s="7"/>
      <c r="U51" s="7"/>
      <c r="V51" s="7"/>
      <c r="AU51" s="7"/>
    </row>
    <row r="52" spans="1:47" x14ac:dyDescent="0.2">
      <c r="A52" s="7"/>
      <c r="B52" s="7"/>
      <c r="C52" s="7"/>
      <c r="D52" s="7"/>
      <c r="E52" s="7"/>
      <c r="F52" s="7"/>
      <c r="G52" s="7"/>
      <c r="H52" s="7"/>
      <c r="I52" s="7"/>
      <c r="J52" s="7"/>
      <c r="K52" s="7"/>
      <c r="L52" s="7"/>
      <c r="M52" s="7"/>
      <c r="N52" s="7"/>
      <c r="O52" s="7"/>
      <c r="P52" s="7"/>
      <c r="Q52" s="7"/>
      <c r="R52" s="7"/>
      <c r="S52" s="7"/>
      <c r="T52" s="7"/>
      <c r="U52" s="7"/>
      <c r="V52" s="7"/>
      <c r="AU52" s="7"/>
    </row>
    <row r="53" spans="1:47" x14ac:dyDescent="0.2">
      <c r="A53" s="7"/>
      <c r="B53" s="7"/>
      <c r="C53" s="7"/>
      <c r="D53" s="7"/>
      <c r="E53" s="7"/>
      <c r="F53" s="7"/>
      <c r="G53" s="7"/>
      <c r="H53" s="7"/>
      <c r="I53" s="7"/>
      <c r="J53" s="7"/>
      <c r="K53" s="7"/>
      <c r="L53" s="7"/>
      <c r="M53" s="7"/>
      <c r="N53" s="7"/>
      <c r="O53" s="7"/>
      <c r="P53" s="7"/>
      <c r="Q53" s="7"/>
      <c r="R53" s="7"/>
      <c r="S53" s="7"/>
      <c r="T53" s="7"/>
      <c r="U53" s="7"/>
      <c r="V53" s="7"/>
      <c r="AU53" s="7"/>
    </row>
    <row r="54" spans="1:47" x14ac:dyDescent="0.2">
      <c r="A54" s="7"/>
      <c r="B54" s="7"/>
      <c r="C54" s="7"/>
      <c r="D54" s="7"/>
      <c r="E54" s="7"/>
      <c r="F54" s="7"/>
      <c r="G54" s="7"/>
      <c r="H54" s="7"/>
      <c r="I54" s="7"/>
      <c r="J54" s="7"/>
      <c r="K54" s="7"/>
      <c r="L54" s="7"/>
      <c r="M54" s="7"/>
      <c r="N54" s="7"/>
      <c r="O54" s="7"/>
      <c r="P54" s="7"/>
      <c r="Q54" s="7"/>
      <c r="R54" s="7"/>
      <c r="S54" s="7"/>
      <c r="T54" s="7"/>
      <c r="U54" s="7"/>
      <c r="V54" s="7"/>
      <c r="AU54" s="7"/>
    </row>
    <row r="55" spans="1:47" x14ac:dyDescent="0.2">
      <c r="A55" s="7"/>
      <c r="B55" s="7"/>
      <c r="C55" s="7"/>
      <c r="D55" s="7"/>
      <c r="E55" s="7"/>
      <c r="F55" s="7"/>
      <c r="G55" s="7"/>
      <c r="H55" s="7"/>
      <c r="I55" s="7"/>
      <c r="J55" s="7"/>
      <c r="K55" s="7"/>
      <c r="L55" s="7"/>
      <c r="M55" s="7"/>
      <c r="N55" s="7"/>
      <c r="O55" s="7"/>
      <c r="P55" s="7"/>
      <c r="Q55" s="7"/>
      <c r="R55" s="7"/>
      <c r="S55" s="7"/>
      <c r="T55" s="7"/>
      <c r="U55" s="7"/>
      <c r="V55" s="7"/>
      <c r="AU55" s="7"/>
    </row>
    <row r="56" spans="1:47" x14ac:dyDescent="0.2">
      <c r="A56" s="7"/>
      <c r="B56" s="7"/>
      <c r="C56" s="7"/>
      <c r="D56" s="7"/>
      <c r="E56" s="7"/>
      <c r="F56" s="7"/>
      <c r="G56" s="7"/>
      <c r="H56" s="7"/>
      <c r="I56" s="7"/>
      <c r="J56" s="7"/>
      <c r="K56" s="7"/>
      <c r="L56" s="7"/>
      <c r="M56" s="7"/>
      <c r="N56" s="7"/>
      <c r="O56" s="7"/>
      <c r="P56" s="7"/>
      <c r="Q56" s="7"/>
      <c r="R56" s="7"/>
      <c r="S56" s="7"/>
      <c r="T56" s="7"/>
      <c r="U56" s="7"/>
      <c r="V56" s="7"/>
      <c r="AU56" s="7"/>
    </row>
    <row r="57" spans="1:47" x14ac:dyDescent="0.2">
      <c r="A57" s="7"/>
      <c r="B57" s="7"/>
      <c r="C57" s="7"/>
      <c r="D57" s="7"/>
      <c r="E57" s="7"/>
      <c r="F57" s="7"/>
      <c r="G57" s="7"/>
      <c r="H57" s="7"/>
      <c r="I57" s="7"/>
      <c r="J57" s="7"/>
      <c r="K57" s="7"/>
      <c r="L57" s="7"/>
      <c r="M57" s="7"/>
      <c r="N57" s="7"/>
      <c r="O57" s="7"/>
      <c r="P57" s="7"/>
      <c r="Q57" s="7"/>
      <c r="R57" s="7"/>
      <c r="S57" s="7"/>
      <c r="T57" s="7"/>
      <c r="U57" s="7"/>
      <c r="V57" s="7"/>
      <c r="AU57" s="7"/>
    </row>
    <row r="58" spans="1:47" x14ac:dyDescent="0.2">
      <c r="A58" s="7"/>
      <c r="B58" s="7"/>
      <c r="C58" s="7"/>
      <c r="D58" s="7"/>
      <c r="E58" s="7"/>
      <c r="F58" s="7"/>
      <c r="G58" s="7"/>
      <c r="H58" s="7"/>
      <c r="I58" s="7"/>
      <c r="J58" s="7"/>
      <c r="K58" s="7"/>
      <c r="L58" s="7"/>
      <c r="M58" s="7"/>
      <c r="N58" s="7"/>
      <c r="O58" s="7"/>
      <c r="P58" s="7"/>
      <c r="Q58" s="7"/>
      <c r="R58" s="7"/>
      <c r="S58" s="7"/>
      <c r="T58" s="7"/>
      <c r="U58" s="7"/>
      <c r="V58" s="7"/>
      <c r="AU58" s="7"/>
    </row>
    <row r="59" spans="1:47" x14ac:dyDescent="0.2">
      <c r="A59" s="7"/>
      <c r="B59" s="7"/>
      <c r="C59" s="7"/>
      <c r="D59" s="7"/>
      <c r="E59" s="7"/>
      <c r="F59" s="7"/>
      <c r="G59" s="7"/>
      <c r="H59" s="7"/>
      <c r="I59" s="7"/>
      <c r="J59" s="7"/>
      <c r="K59" s="7"/>
      <c r="L59" s="7"/>
      <c r="M59" s="7"/>
      <c r="N59" s="7"/>
      <c r="O59" s="7"/>
      <c r="P59" s="7"/>
      <c r="Q59" s="7"/>
      <c r="R59" s="7"/>
      <c r="S59" s="7"/>
      <c r="T59" s="7"/>
      <c r="U59" s="7"/>
      <c r="V59" s="7"/>
      <c r="AU59" s="7"/>
    </row>
    <row r="60" spans="1:47" x14ac:dyDescent="0.2">
      <c r="A60" s="7"/>
      <c r="B60" s="7"/>
      <c r="C60" s="7"/>
      <c r="D60" s="7"/>
      <c r="E60" s="7"/>
      <c r="F60" s="7"/>
      <c r="G60" s="7"/>
      <c r="H60" s="7"/>
      <c r="I60" s="7"/>
      <c r="J60" s="7"/>
      <c r="K60" s="7"/>
      <c r="L60" s="7"/>
      <c r="M60" s="7"/>
      <c r="N60" s="7"/>
      <c r="O60" s="7"/>
      <c r="P60" s="7"/>
      <c r="Q60" s="7"/>
      <c r="R60" s="7"/>
      <c r="S60" s="7"/>
      <c r="T60" s="7"/>
      <c r="U60" s="7"/>
      <c r="V60" s="7"/>
      <c r="AU60" s="7"/>
    </row>
    <row r="61" spans="1:47" x14ac:dyDescent="0.2">
      <c r="A61" s="7"/>
      <c r="B61" s="7"/>
      <c r="C61" s="7"/>
      <c r="D61" s="7"/>
      <c r="E61" s="7"/>
      <c r="F61" s="7"/>
      <c r="G61" s="7"/>
      <c r="H61" s="7"/>
      <c r="I61" s="7"/>
      <c r="J61" s="7"/>
      <c r="K61" s="7"/>
      <c r="L61" s="7"/>
      <c r="M61" s="7"/>
      <c r="N61" s="7"/>
      <c r="O61" s="7"/>
      <c r="P61" s="7"/>
      <c r="Q61" s="7"/>
      <c r="R61" s="7"/>
      <c r="S61" s="7"/>
      <c r="T61" s="7"/>
      <c r="U61" s="7"/>
      <c r="V61" s="7"/>
      <c r="AU61" s="7"/>
    </row>
    <row r="62" spans="1:47" x14ac:dyDescent="0.2">
      <c r="A62" s="7"/>
      <c r="B62" s="7"/>
      <c r="C62" s="7"/>
      <c r="D62" s="7"/>
      <c r="E62" s="7"/>
      <c r="F62" s="7"/>
      <c r="G62" s="7"/>
      <c r="H62" s="7"/>
      <c r="I62" s="7"/>
      <c r="J62" s="7"/>
      <c r="K62" s="7"/>
      <c r="L62" s="7"/>
      <c r="M62" s="7"/>
      <c r="N62" s="7"/>
      <c r="O62" s="7"/>
      <c r="P62" s="7"/>
      <c r="Q62" s="7"/>
      <c r="R62" s="7"/>
      <c r="S62" s="7"/>
      <c r="T62" s="7"/>
      <c r="U62" s="7"/>
      <c r="V62" s="7"/>
      <c r="AU62" s="7"/>
    </row>
    <row r="63" spans="1:47" x14ac:dyDescent="0.2">
      <c r="A63" s="7"/>
      <c r="B63" s="7"/>
      <c r="C63" s="7"/>
      <c r="D63" s="7"/>
      <c r="E63" s="7"/>
      <c r="F63" s="7"/>
      <c r="G63" s="7"/>
      <c r="H63" s="7"/>
      <c r="I63" s="7"/>
      <c r="J63" s="7"/>
      <c r="K63" s="7"/>
      <c r="L63" s="7"/>
      <c r="M63" s="7"/>
      <c r="N63" s="7"/>
      <c r="O63" s="7"/>
      <c r="P63" s="7"/>
      <c r="Q63" s="7"/>
      <c r="R63" s="7"/>
      <c r="S63" s="7"/>
      <c r="T63" s="7"/>
      <c r="U63" s="7"/>
      <c r="V63" s="7"/>
      <c r="AU63" s="7"/>
    </row>
    <row r="64" spans="1:47" x14ac:dyDescent="0.2">
      <c r="A64" s="7"/>
      <c r="B64" s="7"/>
      <c r="C64" s="7"/>
      <c r="D64" s="7"/>
      <c r="E64" s="7"/>
      <c r="F64" s="7"/>
      <c r="G64" s="7"/>
      <c r="H64" s="7"/>
      <c r="I64" s="7"/>
      <c r="J64" s="7"/>
      <c r="K64" s="7"/>
      <c r="L64" s="7"/>
      <c r="M64" s="7"/>
      <c r="N64" s="7"/>
      <c r="O64" s="7"/>
      <c r="P64" s="7"/>
      <c r="Q64" s="7"/>
      <c r="R64" s="7"/>
      <c r="S64" s="7"/>
      <c r="T64" s="7"/>
      <c r="U64" s="7"/>
      <c r="V64" s="7"/>
      <c r="AU64" s="7"/>
    </row>
    <row r="65" spans="1:47" x14ac:dyDescent="0.2">
      <c r="A65" s="7"/>
      <c r="B65" s="7"/>
      <c r="C65" s="7"/>
      <c r="D65" s="7"/>
      <c r="E65" s="7"/>
      <c r="F65" s="7"/>
      <c r="G65" s="7"/>
      <c r="H65" s="7"/>
      <c r="I65" s="7"/>
      <c r="J65" s="7"/>
      <c r="K65" s="7"/>
      <c r="L65" s="7"/>
      <c r="M65" s="7"/>
      <c r="N65" s="7"/>
      <c r="O65" s="7"/>
      <c r="P65" s="7"/>
      <c r="Q65" s="7"/>
      <c r="R65" s="7"/>
      <c r="S65" s="7"/>
      <c r="T65" s="7"/>
      <c r="U65" s="7"/>
      <c r="V65" s="7"/>
      <c r="AU65" s="7"/>
    </row>
    <row r="66" spans="1:47" x14ac:dyDescent="0.2">
      <c r="A66" s="7"/>
      <c r="B66" s="7"/>
      <c r="C66" s="7"/>
      <c r="D66" s="7"/>
      <c r="E66" s="7"/>
      <c r="F66" s="7"/>
      <c r="G66" s="7"/>
      <c r="H66" s="7"/>
      <c r="I66" s="7"/>
      <c r="J66" s="7"/>
      <c r="K66" s="7"/>
      <c r="L66" s="7"/>
      <c r="M66" s="7"/>
      <c r="N66" s="7"/>
      <c r="O66" s="7"/>
      <c r="P66" s="7"/>
      <c r="Q66" s="7"/>
      <c r="R66" s="7"/>
      <c r="S66" s="7"/>
      <c r="T66" s="7"/>
      <c r="U66" s="7"/>
      <c r="V66" s="7"/>
      <c r="AU66" s="7"/>
    </row>
    <row r="67" spans="1:47" x14ac:dyDescent="0.2">
      <c r="A67" s="7"/>
      <c r="B67" s="7"/>
      <c r="C67" s="7"/>
      <c r="D67" s="7"/>
      <c r="E67" s="7"/>
      <c r="F67" s="7"/>
      <c r="G67" s="7"/>
      <c r="H67" s="7"/>
      <c r="I67" s="7"/>
      <c r="J67" s="7"/>
      <c r="K67" s="7"/>
      <c r="L67" s="7"/>
      <c r="M67" s="7"/>
      <c r="N67" s="7"/>
      <c r="O67" s="7"/>
      <c r="P67" s="7"/>
      <c r="Q67" s="7"/>
      <c r="R67" s="7"/>
      <c r="S67" s="7"/>
      <c r="T67" s="7"/>
      <c r="U67" s="7"/>
      <c r="V67" s="7"/>
      <c r="AU67" s="7"/>
    </row>
    <row r="68" spans="1:47" x14ac:dyDescent="0.2">
      <c r="A68" s="7"/>
      <c r="B68" s="7"/>
      <c r="C68" s="7"/>
      <c r="D68" s="7"/>
      <c r="E68" s="7"/>
      <c r="F68" s="7"/>
      <c r="G68" s="7"/>
      <c r="H68" s="7"/>
      <c r="I68" s="7"/>
      <c r="J68" s="7"/>
      <c r="K68" s="7"/>
      <c r="L68" s="7"/>
      <c r="M68" s="7"/>
      <c r="N68" s="7"/>
      <c r="O68" s="7"/>
      <c r="P68" s="7"/>
      <c r="Q68" s="7"/>
      <c r="R68" s="7"/>
      <c r="S68" s="7"/>
      <c r="T68" s="7"/>
      <c r="U68" s="7"/>
      <c r="V68" s="7"/>
      <c r="AU68" s="7"/>
    </row>
    <row r="69" spans="1:47" x14ac:dyDescent="0.2">
      <c r="A69" s="7"/>
      <c r="B69" s="7"/>
      <c r="C69" s="7"/>
      <c r="D69" s="7"/>
      <c r="E69" s="7"/>
      <c r="F69" s="7"/>
      <c r="G69" s="7"/>
      <c r="H69" s="7"/>
      <c r="I69" s="7"/>
      <c r="J69" s="7"/>
      <c r="K69" s="7"/>
      <c r="L69" s="7"/>
      <c r="M69" s="7"/>
      <c r="N69" s="7"/>
      <c r="O69" s="7"/>
      <c r="P69" s="7"/>
      <c r="Q69" s="7"/>
      <c r="R69" s="7"/>
      <c r="S69" s="7"/>
      <c r="T69" s="7"/>
      <c r="U69" s="7"/>
      <c r="V69" s="7"/>
      <c r="AU69" s="7"/>
    </row>
    <row r="70" spans="1:47" x14ac:dyDescent="0.2">
      <c r="A70" s="7"/>
      <c r="B70" s="7"/>
      <c r="C70" s="7"/>
      <c r="D70" s="7"/>
      <c r="E70" s="7"/>
      <c r="F70" s="7"/>
      <c r="G70" s="7"/>
      <c r="H70" s="7"/>
      <c r="I70" s="7"/>
      <c r="J70" s="7"/>
      <c r="K70" s="7"/>
      <c r="L70" s="7"/>
      <c r="M70" s="7"/>
      <c r="N70" s="7"/>
      <c r="O70" s="7"/>
      <c r="P70" s="7"/>
      <c r="Q70" s="7"/>
      <c r="R70" s="7"/>
      <c r="S70" s="7"/>
      <c r="T70" s="7"/>
      <c r="U70" s="7"/>
      <c r="V70" s="7"/>
      <c r="AU70" s="7"/>
    </row>
    <row r="71" spans="1:47" x14ac:dyDescent="0.2">
      <c r="A71" s="7"/>
      <c r="B71" s="7"/>
      <c r="C71" s="7"/>
      <c r="D71" s="7"/>
      <c r="E71" s="7"/>
      <c r="F71" s="7"/>
      <c r="G71" s="7"/>
      <c r="H71" s="7"/>
      <c r="I71" s="7"/>
      <c r="J71" s="7"/>
      <c r="K71" s="7"/>
      <c r="L71" s="7"/>
      <c r="M71" s="7"/>
      <c r="N71" s="7"/>
      <c r="O71" s="7"/>
      <c r="P71" s="7"/>
      <c r="Q71" s="7"/>
      <c r="R71" s="7"/>
      <c r="S71" s="7"/>
      <c r="T71" s="7"/>
      <c r="U71" s="7"/>
      <c r="V71" s="7"/>
      <c r="AU71" s="7"/>
    </row>
    <row r="72" spans="1:47" x14ac:dyDescent="0.2">
      <c r="A72" s="7"/>
      <c r="B72" s="7"/>
      <c r="C72" s="7"/>
      <c r="D72" s="7"/>
      <c r="E72" s="7"/>
      <c r="F72" s="7"/>
      <c r="G72" s="7"/>
      <c r="H72" s="7"/>
      <c r="I72" s="7"/>
      <c r="J72" s="7"/>
      <c r="K72" s="7"/>
      <c r="L72" s="7"/>
      <c r="M72" s="7"/>
      <c r="N72" s="7"/>
      <c r="O72" s="7"/>
      <c r="P72" s="7"/>
      <c r="Q72" s="7"/>
      <c r="R72" s="7"/>
      <c r="S72" s="7"/>
      <c r="T72" s="7"/>
      <c r="U72" s="7"/>
      <c r="V72" s="7"/>
      <c r="AU72" s="7"/>
    </row>
    <row r="73" spans="1:47" x14ac:dyDescent="0.2">
      <c r="A73" s="7"/>
      <c r="B73" s="7"/>
      <c r="C73" s="7"/>
      <c r="D73" s="7"/>
      <c r="E73" s="7"/>
      <c r="F73" s="7"/>
      <c r="G73" s="7"/>
      <c r="H73" s="7"/>
      <c r="I73" s="7"/>
      <c r="J73" s="7"/>
      <c r="K73" s="7"/>
      <c r="L73" s="7"/>
      <c r="M73" s="7"/>
      <c r="N73" s="7"/>
      <c r="O73" s="7"/>
      <c r="P73" s="7"/>
      <c r="Q73" s="7"/>
      <c r="R73" s="7"/>
      <c r="S73" s="7"/>
      <c r="T73" s="7"/>
      <c r="U73" s="7"/>
      <c r="V73" s="7"/>
      <c r="AU73" s="7"/>
    </row>
    <row r="74" spans="1:47" x14ac:dyDescent="0.2">
      <c r="A74" s="7"/>
      <c r="B74" s="7"/>
      <c r="C74" s="7"/>
      <c r="D74" s="7"/>
      <c r="E74" s="7"/>
      <c r="F74" s="7"/>
      <c r="G74" s="7"/>
      <c r="H74" s="7"/>
      <c r="I74" s="7"/>
      <c r="J74" s="7"/>
      <c r="K74" s="7"/>
      <c r="L74" s="7"/>
      <c r="M74" s="7"/>
      <c r="N74" s="7"/>
      <c r="O74" s="7"/>
      <c r="P74" s="7"/>
      <c r="Q74" s="7"/>
      <c r="R74" s="7"/>
      <c r="S74" s="7"/>
      <c r="T74" s="7"/>
      <c r="U74" s="7"/>
      <c r="V74" s="7"/>
      <c r="AU74" s="7"/>
    </row>
    <row r="75" spans="1:47" x14ac:dyDescent="0.2">
      <c r="A75" s="7"/>
      <c r="B75" s="7"/>
      <c r="C75" s="7"/>
      <c r="D75" s="7"/>
      <c r="E75" s="7"/>
      <c r="F75" s="7"/>
      <c r="G75" s="7"/>
      <c r="H75" s="7"/>
      <c r="I75" s="7"/>
      <c r="J75" s="7"/>
      <c r="K75" s="7"/>
      <c r="L75" s="7"/>
      <c r="M75" s="7"/>
      <c r="N75" s="7"/>
      <c r="O75" s="7"/>
      <c r="P75" s="7"/>
      <c r="Q75" s="7"/>
      <c r="R75" s="7"/>
      <c r="S75" s="7"/>
      <c r="T75" s="7"/>
      <c r="U75" s="7"/>
      <c r="V75" s="7"/>
      <c r="AU75" s="7"/>
    </row>
    <row r="76" spans="1:47" x14ac:dyDescent="0.2">
      <c r="A76" s="7"/>
      <c r="B76" s="7"/>
      <c r="C76" s="7"/>
      <c r="D76" s="7"/>
      <c r="E76" s="7"/>
      <c r="F76" s="7"/>
      <c r="G76" s="7"/>
      <c r="H76" s="7"/>
      <c r="I76" s="7"/>
      <c r="J76" s="7"/>
      <c r="K76" s="7"/>
      <c r="L76" s="7"/>
      <c r="M76" s="7"/>
      <c r="N76" s="7"/>
      <c r="O76" s="7"/>
      <c r="P76" s="7"/>
      <c r="Q76" s="7"/>
      <c r="R76" s="7"/>
      <c r="S76" s="7"/>
      <c r="T76" s="7"/>
      <c r="U76" s="7"/>
      <c r="V76" s="7"/>
      <c r="AU76" s="7"/>
    </row>
    <row r="77" spans="1:47" x14ac:dyDescent="0.2">
      <c r="A77" s="7"/>
      <c r="B77" s="7"/>
      <c r="C77" s="7"/>
      <c r="D77" s="7"/>
      <c r="E77" s="7"/>
      <c r="F77" s="7"/>
      <c r="G77" s="7"/>
      <c r="H77" s="7"/>
      <c r="I77" s="7"/>
      <c r="J77" s="7"/>
      <c r="K77" s="7"/>
      <c r="L77" s="7"/>
      <c r="M77" s="7"/>
      <c r="N77" s="7"/>
      <c r="O77" s="7"/>
      <c r="P77" s="7"/>
      <c r="Q77" s="7"/>
      <c r="R77" s="7"/>
      <c r="S77" s="7"/>
      <c r="T77" s="7"/>
      <c r="U77" s="7"/>
      <c r="V77" s="7"/>
      <c r="AU77" s="7"/>
    </row>
    <row r="78" spans="1:47" x14ac:dyDescent="0.2">
      <c r="A78" s="7"/>
      <c r="B78" s="7"/>
      <c r="C78" s="7"/>
      <c r="D78" s="7"/>
      <c r="E78" s="7"/>
      <c r="F78" s="7"/>
      <c r="G78" s="7"/>
      <c r="H78" s="7"/>
      <c r="I78" s="7"/>
      <c r="J78" s="7"/>
      <c r="K78" s="7"/>
      <c r="L78" s="7"/>
      <c r="M78" s="7"/>
      <c r="N78" s="7"/>
      <c r="O78" s="7"/>
      <c r="P78" s="7"/>
      <c r="Q78" s="7"/>
      <c r="R78" s="7"/>
      <c r="S78" s="7"/>
      <c r="T78" s="7"/>
      <c r="U78" s="7"/>
      <c r="V78" s="7"/>
      <c r="AU78" s="7"/>
    </row>
    <row r="79" spans="1:47" x14ac:dyDescent="0.2">
      <c r="A79" s="7"/>
      <c r="B79" s="7"/>
      <c r="C79" s="7"/>
      <c r="D79" s="7"/>
      <c r="E79" s="7"/>
      <c r="F79" s="7"/>
      <c r="G79" s="7"/>
      <c r="H79" s="7"/>
      <c r="I79" s="7"/>
      <c r="J79" s="7"/>
      <c r="K79" s="7"/>
      <c r="L79" s="7"/>
      <c r="M79" s="7"/>
      <c r="N79" s="7"/>
      <c r="O79" s="7"/>
      <c r="P79" s="7"/>
      <c r="Q79" s="7"/>
      <c r="R79" s="7"/>
      <c r="S79" s="7"/>
      <c r="T79" s="7"/>
      <c r="U79" s="7"/>
      <c r="V79" s="7"/>
      <c r="AU79" s="7"/>
    </row>
    <row r="80" spans="1:47" x14ac:dyDescent="0.2">
      <c r="A80" s="7"/>
      <c r="B80" s="7"/>
      <c r="C80" s="7"/>
      <c r="D80" s="7"/>
      <c r="E80" s="7"/>
      <c r="F80" s="7"/>
      <c r="G80" s="7"/>
      <c r="H80" s="7"/>
      <c r="I80" s="7"/>
      <c r="J80" s="7"/>
      <c r="K80" s="7"/>
      <c r="L80" s="7"/>
      <c r="M80" s="7"/>
      <c r="N80" s="7"/>
      <c r="O80" s="7"/>
      <c r="P80" s="7"/>
      <c r="Q80" s="7"/>
      <c r="R80" s="7"/>
      <c r="S80" s="7"/>
      <c r="T80" s="7"/>
      <c r="U80" s="7"/>
      <c r="V80" s="7"/>
      <c r="AU80" s="7"/>
    </row>
    <row r="81" spans="1:47" x14ac:dyDescent="0.2">
      <c r="A81" s="7"/>
      <c r="B81" s="7"/>
      <c r="C81" s="7"/>
      <c r="D81" s="7"/>
      <c r="E81" s="7"/>
      <c r="F81" s="7"/>
      <c r="G81" s="7"/>
      <c r="H81" s="7"/>
      <c r="I81" s="7"/>
      <c r="J81" s="7"/>
      <c r="K81" s="7"/>
      <c r="L81" s="7"/>
      <c r="M81" s="7"/>
      <c r="N81" s="7"/>
      <c r="O81" s="7"/>
      <c r="P81" s="7"/>
      <c r="Q81" s="7"/>
      <c r="R81" s="7"/>
      <c r="S81" s="7"/>
      <c r="T81" s="7"/>
      <c r="U81" s="7"/>
      <c r="V81" s="7"/>
      <c r="AU81" s="7"/>
    </row>
    <row r="82" spans="1:47" x14ac:dyDescent="0.2">
      <c r="A82" s="7"/>
      <c r="B82" s="7"/>
      <c r="C82" s="7"/>
      <c r="D82" s="7"/>
      <c r="E82" s="7"/>
      <c r="F82" s="7"/>
      <c r="G82" s="7"/>
      <c r="H82" s="7"/>
      <c r="I82" s="7"/>
      <c r="J82" s="7"/>
      <c r="K82" s="7"/>
      <c r="L82" s="7"/>
      <c r="M82" s="7"/>
      <c r="N82" s="7"/>
      <c r="O82" s="7"/>
      <c r="P82" s="7"/>
      <c r="Q82" s="7"/>
      <c r="R82" s="7"/>
      <c r="S82" s="7"/>
      <c r="T82" s="7"/>
      <c r="U82" s="7"/>
      <c r="V82" s="7"/>
      <c r="AU82" s="7"/>
    </row>
    <row r="83" spans="1:47" x14ac:dyDescent="0.2">
      <c r="A83" s="7"/>
      <c r="B83" s="7"/>
      <c r="C83" s="7"/>
      <c r="D83" s="7"/>
      <c r="E83" s="7"/>
      <c r="F83" s="7"/>
      <c r="G83" s="7"/>
      <c r="H83" s="7"/>
      <c r="I83" s="7"/>
      <c r="J83" s="7"/>
      <c r="K83" s="7"/>
      <c r="L83" s="7"/>
      <c r="M83" s="7"/>
      <c r="N83" s="7"/>
      <c r="O83" s="7"/>
      <c r="P83" s="7"/>
      <c r="Q83" s="7"/>
      <c r="R83" s="7"/>
      <c r="S83" s="7"/>
      <c r="T83" s="7"/>
      <c r="U83" s="7"/>
      <c r="V83" s="7"/>
      <c r="AU83" s="7"/>
    </row>
    <row r="84" spans="1:47" x14ac:dyDescent="0.2">
      <c r="A84" s="7"/>
      <c r="B84" s="7"/>
      <c r="C84" s="7"/>
      <c r="D84" s="7"/>
      <c r="E84" s="7"/>
      <c r="F84" s="7"/>
      <c r="G84" s="7"/>
      <c r="H84" s="7"/>
      <c r="I84" s="7"/>
      <c r="J84" s="7"/>
      <c r="K84" s="7"/>
      <c r="L84" s="7"/>
      <c r="M84" s="7"/>
      <c r="N84" s="7"/>
      <c r="O84" s="7"/>
      <c r="P84" s="7"/>
      <c r="Q84" s="7"/>
      <c r="R84" s="7"/>
      <c r="S84" s="7"/>
      <c r="T84" s="7"/>
      <c r="U84" s="7"/>
      <c r="V84" s="7"/>
      <c r="AU84" s="7"/>
    </row>
    <row r="85" spans="1:47" x14ac:dyDescent="0.2">
      <c r="A85" s="7"/>
      <c r="B85" s="7"/>
      <c r="C85" s="7"/>
      <c r="D85" s="7"/>
      <c r="E85" s="7"/>
      <c r="F85" s="7"/>
      <c r="G85" s="7"/>
      <c r="H85" s="7"/>
      <c r="I85" s="7"/>
      <c r="J85" s="7"/>
      <c r="K85" s="7"/>
      <c r="L85" s="7"/>
      <c r="M85" s="7"/>
      <c r="N85" s="7"/>
      <c r="O85" s="7"/>
      <c r="P85" s="7"/>
      <c r="Q85" s="7"/>
      <c r="R85" s="7"/>
      <c r="S85" s="7"/>
      <c r="T85" s="7"/>
      <c r="U85" s="7"/>
      <c r="V85" s="7"/>
      <c r="AU85" s="7"/>
    </row>
    <row r="86" spans="1:47" x14ac:dyDescent="0.2">
      <c r="A86" s="7"/>
      <c r="B86" s="7"/>
      <c r="C86" s="7"/>
      <c r="D86" s="7"/>
      <c r="E86" s="7"/>
      <c r="F86" s="7"/>
      <c r="G86" s="7"/>
      <c r="H86" s="7"/>
      <c r="I86" s="7"/>
      <c r="J86" s="7"/>
      <c r="K86" s="7"/>
      <c r="L86" s="7"/>
      <c r="M86" s="7"/>
      <c r="N86" s="7"/>
      <c r="O86" s="7"/>
      <c r="P86" s="7"/>
      <c r="Q86" s="7"/>
      <c r="R86" s="7"/>
      <c r="S86" s="7"/>
      <c r="T86" s="7"/>
      <c r="U86" s="7"/>
      <c r="V86" s="7"/>
      <c r="AU86" s="7"/>
    </row>
    <row r="87" spans="1:47" x14ac:dyDescent="0.2">
      <c r="A87" s="7"/>
      <c r="B87" s="7"/>
      <c r="C87" s="7"/>
      <c r="D87" s="7"/>
      <c r="E87" s="7"/>
      <c r="F87" s="7"/>
      <c r="G87" s="7"/>
      <c r="H87" s="7"/>
      <c r="I87" s="7"/>
      <c r="J87" s="7"/>
      <c r="K87" s="7"/>
      <c r="L87" s="7"/>
      <c r="M87" s="7"/>
      <c r="N87" s="7"/>
      <c r="O87" s="7"/>
      <c r="P87" s="7"/>
      <c r="Q87" s="7"/>
      <c r="R87" s="7"/>
      <c r="S87" s="7"/>
      <c r="T87" s="7"/>
      <c r="U87" s="7"/>
      <c r="V87" s="7"/>
      <c r="AU87" s="7"/>
    </row>
    <row r="88" spans="1:47" x14ac:dyDescent="0.2">
      <c r="A88" s="7"/>
      <c r="B88" s="7"/>
      <c r="C88" s="7"/>
      <c r="D88" s="7"/>
      <c r="E88" s="7"/>
      <c r="F88" s="7"/>
      <c r="G88" s="7"/>
      <c r="H88" s="7"/>
      <c r="I88" s="7"/>
      <c r="J88" s="7"/>
      <c r="K88" s="7"/>
      <c r="L88" s="7"/>
      <c r="M88" s="7"/>
      <c r="N88" s="7"/>
      <c r="O88" s="7"/>
      <c r="P88" s="7"/>
      <c r="Q88" s="7"/>
      <c r="R88" s="7"/>
      <c r="S88" s="7"/>
      <c r="T88" s="7"/>
      <c r="U88" s="7"/>
      <c r="V88" s="7"/>
      <c r="AU88" s="7"/>
    </row>
    <row r="89" spans="1:47" x14ac:dyDescent="0.2">
      <c r="A89" s="7"/>
      <c r="B89" s="7"/>
      <c r="C89" s="7"/>
      <c r="D89" s="7"/>
      <c r="E89" s="7"/>
      <c r="F89" s="7"/>
      <c r="G89" s="7"/>
      <c r="H89" s="7"/>
      <c r="I89" s="7"/>
      <c r="J89" s="7"/>
      <c r="K89" s="7"/>
      <c r="L89" s="7"/>
      <c r="M89" s="7"/>
      <c r="N89" s="7"/>
      <c r="O89" s="7"/>
      <c r="P89" s="7"/>
      <c r="Q89" s="7"/>
      <c r="R89" s="7"/>
      <c r="S89" s="7"/>
      <c r="T89" s="7"/>
      <c r="U89" s="7"/>
      <c r="V89" s="7"/>
      <c r="AU89" s="7"/>
    </row>
    <row r="90" spans="1:47" x14ac:dyDescent="0.2">
      <c r="A90" s="7"/>
      <c r="B90" s="7"/>
      <c r="C90" s="7"/>
      <c r="D90" s="7"/>
      <c r="E90" s="7"/>
      <c r="F90" s="7"/>
      <c r="G90" s="7"/>
      <c r="H90" s="7"/>
      <c r="I90" s="7"/>
      <c r="J90" s="7"/>
      <c r="K90" s="7"/>
      <c r="L90" s="7"/>
      <c r="M90" s="7"/>
      <c r="N90" s="7"/>
      <c r="O90" s="7"/>
      <c r="P90" s="7"/>
      <c r="Q90" s="7"/>
      <c r="R90" s="7"/>
      <c r="S90" s="7"/>
      <c r="T90" s="7"/>
      <c r="U90" s="7"/>
      <c r="V90" s="7"/>
      <c r="AU90" s="7"/>
    </row>
    <row r="91" spans="1:47" x14ac:dyDescent="0.2">
      <c r="A91" s="7"/>
      <c r="B91" s="7"/>
      <c r="C91" s="7"/>
      <c r="D91" s="7"/>
      <c r="E91" s="7"/>
      <c r="F91" s="7"/>
      <c r="G91" s="7"/>
      <c r="H91" s="7"/>
      <c r="I91" s="7"/>
      <c r="J91" s="7"/>
      <c r="K91" s="7"/>
      <c r="L91" s="7"/>
      <c r="M91" s="7"/>
      <c r="N91" s="7"/>
      <c r="O91" s="7"/>
      <c r="P91" s="7"/>
      <c r="Q91" s="7"/>
      <c r="R91" s="7"/>
      <c r="S91" s="7"/>
      <c r="T91" s="7"/>
      <c r="U91" s="7"/>
      <c r="V91" s="7"/>
      <c r="AU91" s="7"/>
    </row>
    <row r="92" spans="1:47" x14ac:dyDescent="0.2">
      <c r="A92" s="7"/>
      <c r="B92" s="7"/>
      <c r="C92" s="7"/>
      <c r="D92" s="7"/>
      <c r="E92" s="7"/>
      <c r="F92" s="7"/>
      <c r="G92" s="7"/>
      <c r="H92" s="7"/>
      <c r="I92" s="7"/>
      <c r="J92" s="7"/>
      <c r="K92" s="7"/>
      <c r="L92" s="7"/>
      <c r="M92" s="7"/>
      <c r="N92" s="7"/>
      <c r="O92" s="7"/>
      <c r="P92" s="7"/>
      <c r="Q92" s="7"/>
      <c r="R92" s="7"/>
      <c r="S92" s="7"/>
      <c r="T92" s="7"/>
      <c r="U92" s="7"/>
      <c r="V92" s="7"/>
      <c r="AU92" s="7"/>
    </row>
    <row r="93" spans="1:47" x14ac:dyDescent="0.2">
      <c r="A93" s="7"/>
      <c r="B93" s="7"/>
      <c r="C93" s="7"/>
      <c r="D93" s="7"/>
      <c r="E93" s="7"/>
      <c r="F93" s="7"/>
      <c r="G93" s="7"/>
      <c r="H93" s="7"/>
      <c r="I93" s="7"/>
      <c r="J93" s="7"/>
      <c r="K93" s="7"/>
      <c r="L93" s="7"/>
      <c r="M93" s="7"/>
      <c r="N93" s="7"/>
      <c r="O93" s="7"/>
      <c r="P93" s="7"/>
      <c r="Q93" s="7"/>
      <c r="R93" s="7"/>
      <c r="S93" s="7"/>
      <c r="T93" s="7"/>
      <c r="U93" s="7"/>
      <c r="V93" s="7"/>
      <c r="AU93" s="7"/>
    </row>
    <row r="94" spans="1:47" x14ac:dyDescent="0.2">
      <c r="A94" s="7"/>
      <c r="B94" s="7"/>
      <c r="C94" s="7"/>
      <c r="D94" s="7"/>
      <c r="E94" s="7"/>
      <c r="F94" s="7"/>
      <c r="G94" s="7"/>
      <c r="H94" s="7"/>
      <c r="I94" s="7"/>
      <c r="J94" s="7"/>
      <c r="K94" s="7"/>
      <c r="L94" s="7"/>
      <c r="M94" s="7"/>
      <c r="N94" s="7"/>
      <c r="O94" s="7"/>
      <c r="P94" s="7"/>
      <c r="Q94" s="7"/>
      <c r="R94" s="7"/>
      <c r="S94" s="7"/>
      <c r="T94" s="7"/>
      <c r="U94" s="7"/>
      <c r="V94" s="7"/>
      <c r="AU94" s="7"/>
    </row>
    <row r="95" spans="1:47" x14ac:dyDescent="0.2">
      <c r="A95" s="7"/>
      <c r="B95" s="7"/>
      <c r="C95" s="7"/>
      <c r="D95" s="7"/>
      <c r="E95" s="7"/>
      <c r="F95" s="7"/>
      <c r="G95" s="7"/>
      <c r="H95" s="7"/>
      <c r="I95" s="7"/>
      <c r="J95" s="7"/>
      <c r="K95" s="7"/>
      <c r="L95" s="7"/>
      <c r="M95" s="7"/>
      <c r="N95" s="7"/>
      <c r="O95" s="7"/>
      <c r="P95" s="7"/>
      <c r="Q95" s="7"/>
      <c r="R95" s="7"/>
      <c r="S95" s="7"/>
      <c r="T95" s="7"/>
      <c r="U95" s="7"/>
      <c r="V95" s="7"/>
      <c r="AU95" s="7"/>
    </row>
    <row r="96" spans="1:47" x14ac:dyDescent="0.2">
      <c r="A96" s="7"/>
      <c r="B96" s="7"/>
      <c r="C96" s="7"/>
      <c r="D96" s="7"/>
      <c r="E96" s="7"/>
      <c r="F96" s="7"/>
      <c r="G96" s="7"/>
      <c r="H96" s="7"/>
      <c r="I96" s="7"/>
      <c r="J96" s="7"/>
      <c r="K96" s="7"/>
      <c r="L96" s="7"/>
      <c r="M96" s="7"/>
      <c r="N96" s="7"/>
      <c r="O96" s="7"/>
      <c r="P96" s="7"/>
      <c r="Q96" s="7"/>
      <c r="R96" s="7"/>
      <c r="S96" s="7"/>
      <c r="T96" s="7"/>
      <c r="U96" s="7"/>
      <c r="V96" s="7"/>
      <c r="AU96" s="7"/>
    </row>
    <row r="97" spans="1:47" x14ac:dyDescent="0.2">
      <c r="A97" s="7"/>
      <c r="B97" s="7"/>
      <c r="C97" s="7"/>
      <c r="D97" s="7"/>
      <c r="E97" s="7"/>
      <c r="F97" s="7"/>
      <c r="G97" s="7"/>
      <c r="H97" s="7"/>
      <c r="I97" s="7"/>
      <c r="J97" s="7"/>
      <c r="K97" s="7"/>
      <c r="L97" s="7"/>
      <c r="M97" s="7"/>
      <c r="N97" s="7"/>
      <c r="O97" s="7"/>
      <c r="P97" s="7"/>
      <c r="Q97" s="7"/>
      <c r="R97" s="7"/>
      <c r="S97" s="7"/>
      <c r="T97" s="7"/>
      <c r="U97" s="7"/>
      <c r="V97" s="7"/>
      <c r="AU97" s="7"/>
    </row>
    <row r="98" spans="1:47" x14ac:dyDescent="0.2">
      <c r="A98" s="7"/>
      <c r="B98" s="7"/>
      <c r="C98" s="7"/>
      <c r="D98" s="7"/>
      <c r="E98" s="7"/>
      <c r="F98" s="7"/>
      <c r="G98" s="7"/>
      <c r="H98" s="7"/>
      <c r="I98" s="7"/>
      <c r="J98" s="7"/>
      <c r="K98" s="7"/>
      <c r="L98" s="7"/>
      <c r="M98" s="7"/>
      <c r="N98" s="7"/>
      <c r="O98" s="7"/>
      <c r="P98" s="7"/>
      <c r="Q98" s="7"/>
      <c r="R98" s="7"/>
      <c r="S98" s="7"/>
      <c r="T98" s="7"/>
      <c r="U98" s="7"/>
      <c r="V98" s="7"/>
      <c r="AU98" s="7"/>
    </row>
    <row r="99" spans="1:47" x14ac:dyDescent="0.2">
      <c r="A99" s="7"/>
      <c r="B99" s="7"/>
      <c r="C99" s="7"/>
      <c r="D99" s="7"/>
      <c r="E99" s="7"/>
      <c r="F99" s="7"/>
      <c r="G99" s="7"/>
      <c r="H99" s="7"/>
      <c r="I99" s="7"/>
      <c r="J99" s="7"/>
      <c r="K99" s="7"/>
      <c r="L99" s="7"/>
      <c r="M99" s="7"/>
      <c r="N99" s="7"/>
      <c r="O99" s="7"/>
      <c r="P99" s="7"/>
      <c r="Q99" s="7"/>
      <c r="R99" s="7"/>
      <c r="S99" s="7"/>
      <c r="T99" s="7"/>
      <c r="U99" s="7"/>
      <c r="V99" s="7"/>
      <c r="AU99" s="7"/>
    </row>
    <row r="100" spans="1:47" x14ac:dyDescent="0.2">
      <c r="A100" s="7"/>
      <c r="B100" s="7"/>
      <c r="C100" s="7"/>
      <c r="D100" s="7"/>
      <c r="E100" s="7"/>
      <c r="F100" s="7"/>
      <c r="G100" s="7"/>
      <c r="H100" s="7"/>
      <c r="I100" s="7"/>
      <c r="J100" s="7"/>
      <c r="K100" s="7"/>
      <c r="L100" s="7"/>
      <c r="M100" s="7"/>
      <c r="N100" s="7"/>
      <c r="O100" s="7"/>
      <c r="P100" s="7"/>
      <c r="Q100" s="7"/>
      <c r="R100" s="7"/>
      <c r="S100" s="7"/>
      <c r="T100" s="7"/>
      <c r="U100" s="7"/>
      <c r="V100" s="7"/>
      <c r="AU100" s="7"/>
    </row>
    <row r="101" spans="1:47" x14ac:dyDescent="0.2">
      <c r="A101" s="7"/>
      <c r="B101" s="7"/>
      <c r="C101" s="7"/>
      <c r="D101" s="7"/>
      <c r="E101" s="7"/>
      <c r="F101" s="7"/>
      <c r="G101" s="7"/>
      <c r="H101" s="7"/>
      <c r="I101" s="7"/>
      <c r="J101" s="7"/>
      <c r="K101" s="7"/>
      <c r="L101" s="7"/>
      <c r="M101" s="7"/>
      <c r="N101" s="7"/>
      <c r="O101" s="7"/>
      <c r="P101" s="7"/>
      <c r="Q101" s="7"/>
      <c r="R101" s="7"/>
      <c r="S101" s="7"/>
      <c r="T101" s="7"/>
      <c r="U101" s="7"/>
      <c r="V101" s="7"/>
      <c r="AU101" s="7"/>
    </row>
    <row r="102" spans="1:47" x14ac:dyDescent="0.2">
      <c r="A102" s="7"/>
      <c r="B102" s="7"/>
      <c r="C102" s="7"/>
      <c r="D102" s="7"/>
      <c r="E102" s="7"/>
      <c r="F102" s="7"/>
      <c r="G102" s="7"/>
      <c r="H102" s="7"/>
      <c r="I102" s="7"/>
      <c r="J102" s="7"/>
      <c r="K102" s="7"/>
      <c r="L102" s="7"/>
      <c r="M102" s="7"/>
      <c r="N102" s="7"/>
      <c r="O102" s="7"/>
      <c r="P102" s="7"/>
      <c r="Q102" s="7"/>
      <c r="R102" s="7"/>
      <c r="S102" s="7"/>
      <c r="T102" s="7"/>
      <c r="U102" s="7"/>
      <c r="V102" s="7"/>
      <c r="AU102" s="7"/>
    </row>
    <row r="103" spans="1:47" x14ac:dyDescent="0.2">
      <c r="A103" s="7"/>
      <c r="B103" s="7"/>
      <c r="C103" s="7"/>
      <c r="D103" s="7"/>
      <c r="E103" s="7"/>
      <c r="F103" s="7"/>
      <c r="G103" s="7"/>
      <c r="H103" s="7"/>
      <c r="I103" s="7"/>
      <c r="J103" s="7"/>
      <c r="K103" s="7"/>
      <c r="L103" s="7"/>
      <c r="M103" s="7"/>
      <c r="N103" s="7"/>
      <c r="O103" s="7"/>
      <c r="P103" s="7"/>
      <c r="Q103" s="7"/>
      <c r="R103" s="7"/>
      <c r="S103" s="7"/>
      <c r="T103" s="7"/>
      <c r="U103" s="7"/>
      <c r="V103" s="7"/>
      <c r="AU103" s="7"/>
    </row>
    <row r="104" spans="1:47" x14ac:dyDescent="0.2">
      <c r="A104" s="7"/>
      <c r="B104" s="7"/>
      <c r="C104" s="7"/>
      <c r="D104" s="7"/>
      <c r="E104" s="7"/>
      <c r="F104" s="7"/>
      <c r="G104" s="7"/>
      <c r="H104" s="7"/>
      <c r="I104" s="7"/>
      <c r="J104" s="7"/>
      <c r="K104" s="7"/>
      <c r="L104" s="7"/>
      <c r="M104" s="7"/>
      <c r="N104" s="7"/>
      <c r="O104" s="7"/>
      <c r="P104" s="7"/>
      <c r="Q104" s="7"/>
      <c r="R104" s="7"/>
      <c r="S104" s="7"/>
      <c r="T104" s="7"/>
      <c r="U104" s="7"/>
      <c r="V104" s="7"/>
      <c r="AU104" s="7"/>
    </row>
    <row r="105" spans="1:47" x14ac:dyDescent="0.2">
      <c r="A105" s="7"/>
      <c r="B105" s="7"/>
      <c r="C105" s="7"/>
      <c r="D105" s="7"/>
      <c r="E105" s="7"/>
      <c r="F105" s="7"/>
      <c r="G105" s="7"/>
      <c r="H105" s="7"/>
      <c r="I105" s="7"/>
      <c r="J105" s="7"/>
      <c r="K105" s="7"/>
      <c r="L105" s="7"/>
      <c r="M105" s="7"/>
      <c r="N105" s="7"/>
      <c r="O105" s="7"/>
      <c r="P105" s="7"/>
      <c r="Q105" s="7"/>
      <c r="R105" s="7"/>
      <c r="S105" s="7"/>
      <c r="T105" s="7"/>
      <c r="U105" s="7"/>
      <c r="V105" s="7"/>
      <c r="AU105" s="7"/>
    </row>
    <row r="106" spans="1:47" x14ac:dyDescent="0.2">
      <c r="A106" s="7"/>
      <c r="B106" s="7"/>
      <c r="C106" s="7"/>
      <c r="D106" s="7"/>
      <c r="E106" s="7"/>
      <c r="F106" s="7"/>
      <c r="G106" s="7"/>
      <c r="H106" s="7"/>
      <c r="I106" s="7"/>
      <c r="J106" s="7"/>
      <c r="K106" s="7"/>
      <c r="L106" s="7"/>
      <c r="M106" s="7"/>
      <c r="N106" s="7"/>
      <c r="O106" s="7"/>
      <c r="P106" s="7"/>
      <c r="Q106" s="7"/>
      <c r="R106" s="7"/>
      <c r="S106" s="7"/>
      <c r="T106" s="7"/>
      <c r="U106" s="7"/>
      <c r="V106" s="7"/>
      <c r="AU106" s="7"/>
    </row>
    <row r="107" spans="1:47" x14ac:dyDescent="0.2">
      <c r="A107" s="7"/>
      <c r="B107" s="7"/>
      <c r="C107" s="7"/>
      <c r="D107" s="7"/>
      <c r="E107" s="7"/>
      <c r="F107" s="7"/>
      <c r="G107" s="7"/>
      <c r="H107" s="7"/>
      <c r="I107" s="7"/>
      <c r="J107" s="7"/>
      <c r="K107" s="7"/>
      <c r="L107" s="7"/>
      <c r="M107" s="7"/>
      <c r="N107" s="7"/>
      <c r="O107" s="7"/>
      <c r="P107" s="7"/>
      <c r="Q107" s="7"/>
      <c r="R107" s="7"/>
      <c r="S107" s="7"/>
      <c r="T107" s="7"/>
      <c r="U107" s="7"/>
      <c r="V107" s="7"/>
      <c r="AU107" s="7"/>
    </row>
    <row r="108" spans="1:47" x14ac:dyDescent="0.2">
      <c r="A108" s="7"/>
      <c r="B108" s="7"/>
      <c r="C108" s="7"/>
      <c r="D108" s="7"/>
      <c r="E108" s="7"/>
      <c r="F108" s="7"/>
      <c r="G108" s="7"/>
      <c r="H108" s="7"/>
      <c r="I108" s="7"/>
      <c r="J108" s="7"/>
      <c r="K108" s="7"/>
      <c r="L108" s="7"/>
      <c r="M108" s="7"/>
      <c r="N108" s="7"/>
      <c r="O108" s="7"/>
      <c r="P108" s="7"/>
      <c r="Q108" s="7"/>
      <c r="R108" s="7"/>
      <c r="S108" s="7"/>
      <c r="T108" s="7"/>
      <c r="U108" s="7"/>
      <c r="V108" s="7"/>
      <c r="AU108" s="7"/>
    </row>
    <row r="109" spans="1:47" x14ac:dyDescent="0.2">
      <c r="A109" s="7"/>
      <c r="B109" s="7"/>
      <c r="C109" s="7"/>
      <c r="D109" s="7"/>
      <c r="E109" s="7"/>
      <c r="F109" s="7"/>
      <c r="G109" s="7"/>
      <c r="H109" s="7"/>
      <c r="I109" s="7"/>
      <c r="J109" s="7"/>
      <c r="K109" s="7"/>
      <c r="L109" s="7"/>
      <c r="M109" s="7"/>
      <c r="N109" s="7"/>
      <c r="O109" s="7"/>
      <c r="P109" s="7"/>
      <c r="Q109" s="7"/>
      <c r="R109" s="7"/>
      <c r="S109" s="7"/>
      <c r="T109" s="7"/>
      <c r="U109" s="7"/>
      <c r="V109" s="7"/>
      <c r="AU109" s="7"/>
    </row>
    <row r="110" spans="1:47" x14ac:dyDescent="0.2">
      <c r="A110" s="7"/>
      <c r="B110" s="7"/>
      <c r="C110" s="7"/>
      <c r="D110" s="7"/>
      <c r="E110" s="7"/>
      <c r="F110" s="7"/>
      <c r="G110" s="7"/>
      <c r="H110" s="7"/>
      <c r="I110" s="7"/>
      <c r="J110" s="7"/>
      <c r="K110" s="7"/>
      <c r="L110" s="7"/>
      <c r="M110" s="7"/>
      <c r="N110" s="7"/>
      <c r="O110" s="7"/>
      <c r="P110" s="7"/>
      <c r="Q110" s="7"/>
      <c r="R110" s="7"/>
      <c r="S110" s="7"/>
      <c r="T110" s="7"/>
      <c r="U110" s="7"/>
      <c r="V110" s="7"/>
      <c r="AU110" s="7"/>
    </row>
    <row r="111" spans="1:47" x14ac:dyDescent="0.2">
      <c r="A111" s="7"/>
      <c r="B111" s="7"/>
      <c r="C111" s="7"/>
      <c r="D111" s="7"/>
      <c r="E111" s="7"/>
      <c r="F111" s="7"/>
      <c r="G111" s="7"/>
      <c r="H111" s="7"/>
      <c r="I111" s="7"/>
      <c r="J111" s="7"/>
      <c r="K111" s="7"/>
      <c r="L111" s="7"/>
      <c r="M111" s="7"/>
      <c r="N111" s="7"/>
      <c r="O111" s="7"/>
      <c r="P111" s="7"/>
      <c r="Q111" s="7"/>
      <c r="R111" s="7"/>
      <c r="S111" s="7"/>
      <c r="T111" s="7"/>
      <c r="U111" s="7"/>
      <c r="V111" s="7"/>
      <c r="AU111" s="7"/>
    </row>
    <row r="112" spans="1:47" x14ac:dyDescent="0.2">
      <c r="A112" s="7"/>
      <c r="B112" s="7"/>
      <c r="C112" s="7"/>
      <c r="D112" s="7"/>
      <c r="E112" s="7"/>
      <c r="F112" s="7"/>
      <c r="G112" s="7"/>
      <c r="H112" s="7"/>
      <c r="I112" s="7"/>
      <c r="J112" s="7"/>
      <c r="K112" s="7"/>
      <c r="L112" s="7"/>
      <c r="M112" s="7"/>
      <c r="N112" s="7"/>
      <c r="O112" s="7"/>
      <c r="P112" s="7"/>
      <c r="Q112" s="7"/>
      <c r="R112" s="7"/>
      <c r="S112" s="7"/>
      <c r="T112" s="7"/>
      <c r="U112" s="7"/>
      <c r="V112" s="7"/>
      <c r="AU112" s="7"/>
    </row>
    <row r="113" spans="1:47" x14ac:dyDescent="0.2">
      <c r="A113" s="7"/>
      <c r="B113" s="7"/>
      <c r="C113" s="7"/>
      <c r="D113" s="7"/>
      <c r="E113" s="7"/>
      <c r="F113" s="7"/>
      <c r="G113" s="7"/>
      <c r="H113" s="7"/>
      <c r="I113" s="7"/>
      <c r="J113" s="7"/>
      <c r="K113" s="7"/>
      <c r="L113" s="7"/>
      <c r="M113" s="7"/>
      <c r="N113" s="7"/>
      <c r="O113" s="7"/>
      <c r="P113" s="7"/>
      <c r="Q113" s="7"/>
      <c r="R113" s="7"/>
      <c r="S113" s="7"/>
      <c r="T113" s="7"/>
      <c r="U113" s="7"/>
      <c r="V113" s="7"/>
      <c r="AU113" s="7"/>
    </row>
    <row r="114" spans="1:47" x14ac:dyDescent="0.2">
      <c r="A114" s="7"/>
      <c r="B114" s="7"/>
      <c r="C114" s="7"/>
      <c r="D114" s="7"/>
      <c r="E114" s="7"/>
      <c r="F114" s="7"/>
      <c r="G114" s="7"/>
      <c r="H114" s="7"/>
      <c r="I114" s="7"/>
      <c r="J114" s="7"/>
      <c r="K114" s="7"/>
      <c r="L114" s="7"/>
      <c r="M114" s="7"/>
      <c r="N114" s="7"/>
      <c r="O114" s="7"/>
      <c r="P114" s="7"/>
      <c r="Q114" s="7"/>
      <c r="R114" s="7"/>
      <c r="S114" s="7"/>
      <c r="T114" s="7"/>
      <c r="U114" s="7"/>
      <c r="V114" s="7"/>
      <c r="AU114" s="7"/>
    </row>
    <row r="115" spans="1:47" x14ac:dyDescent="0.2">
      <c r="A115" s="7"/>
      <c r="B115" s="7"/>
      <c r="C115" s="7"/>
      <c r="D115" s="7"/>
      <c r="E115" s="7"/>
      <c r="F115" s="7"/>
      <c r="G115" s="7"/>
      <c r="H115" s="7"/>
      <c r="I115" s="7"/>
      <c r="J115" s="7"/>
      <c r="K115" s="7"/>
      <c r="L115" s="7"/>
      <c r="M115" s="7"/>
      <c r="N115" s="7"/>
      <c r="O115" s="7"/>
      <c r="P115" s="7"/>
      <c r="Q115" s="7"/>
      <c r="R115" s="7"/>
      <c r="S115" s="7"/>
      <c r="T115" s="7"/>
      <c r="U115" s="7"/>
      <c r="V115" s="7"/>
      <c r="AU115" s="7"/>
    </row>
    <row r="116" spans="1:47" x14ac:dyDescent="0.2">
      <c r="A116" s="7"/>
      <c r="B116" s="7"/>
      <c r="C116" s="7"/>
      <c r="D116" s="7"/>
      <c r="E116" s="7"/>
      <c r="F116" s="7"/>
      <c r="G116" s="7"/>
      <c r="H116" s="7"/>
      <c r="I116" s="7"/>
      <c r="J116" s="7"/>
      <c r="K116" s="7"/>
      <c r="L116" s="7"/>
      <c r="M116" s="7"/>
      <c r="N116" s="7"/>
      <c r="O116" s="7"/>
      <c r="P116" s="7"/>
      <c r="Q116" s="7"/>
      <c r="R116" s="7"/>
      <c r="S116" s="7"/>
      <c r="T116" s="7"/>
      <c r="U116" s="7"/>
      <c r="V116" s="7"/>
      <c r="AU116" s="7"/>
    </row>
    <row r="117" spans="1:47" x14ac:dyDescent="0.2">
      <c r="A117" s="7"/>
      <c r="B117" s="7"/>
      <c r="C117" s="7"/>
      <c r="D117" s="7"/>
      <c r="E117" s="7"/>
      <c r="F117" s="7"/>
      <c r="G117" s="7"/>
      <c r="H117" s="7"/>
      <c r="I117" s="7"/>
      <c r="J117" s="7"/>
      <c r="K117" s="7"/>
      <c r="L117" s="7"/>
      <c r="M117" s="7"/>
      <c r="N117" s="7"/>
      <c r="O117" s="7"/>
      <c r="P117" s="7"/>
      <c r="Q117" s="7"/>
      <c r="R117" s="7"/>
      <c r="S117" s="7"/>
      <c r="T117" s="7"/>
      <c r="U117" s="7"/>
      <c r="V117" s="7"/>
      <c r="AU117" s="7"/>
    </row>
    <row r="118" spans="1:47" x14ac:dyDescent="0.2">
      <c r="A118" s="7"/>
      <c r="B118" s="7"/>
      <c r="C118" s="7"/>
      <c r="D118" s="7"/>
      <c r="E118" s="7"/>
      <c r="F118" s="7"/>
      <c r="G118" s="7"/>
      <c r="H118" s="7"/>
      <c r="I118" s="7"/>
      <c r="J118" s="7"/>
      <c r="K118" s="7"/>
      <c r="L118" s="7"/>
      <c r="M118" s="7"/>
      <c r="N118" s="7"/>
      <c r="O118" s="7"/>
      <c r="P118" s="7"/>
      <c r="Q118" s="7"/>
      <c r="R118" s="7"/>
      <c r="S118" s="7"/>
      <c r="T118" s="7"/>
      <c r="U118" s="7"/>
      <c r="V118" s="7"/>
      <c r="AU118" s="7"/>
    </row>
    <row r="119" spans="1:47" x14ac:dyDescent="0.2">
      <c r="A119" s="7"/>
      <c r="B119" s="7"/>
      <c r="C119" s="7"/>
      <c r="D119" s="7"/>
      <c r="E119" s="7"/>
      <c r="F119" s="7"/>
      <c r="G119" s="7"/>
      <c r="H119" s="7"/>
      <c r="I119" s="7"/>
      <c r="J119" s="7"/>
      <c r="K119" s="7"/>
      <c r="L119" s="7"/>
      <c r="M119" s="7"/>
      <c r="N119" s="7"/>
      <c r="O119" s="7"/>
      <c r="P119" s="7"/>
      <c r="Q119" s="7"/>
      <c r="R119" s="7"/>
      <c r="S119" s="7"/>
      <c r="T119" s="7"/>
      <c r="U119" s="7"/>
      <c r="V119" s="7"/>
      <c r="AU119" s="7"/>
    </row>
    <row r="120" spans="1:47" x14ac:dyDescent="0.2">
      <c r="A120" s="7"/>
      <c r="B120" s="7"/>
      <c r="C120" s="7"/>
      <c r="D120" s="7"/>
      <c r="E120" s="7"/>
      <c r="F120" s="7"/>
      <c r="G120" s="7"/>
      <c r="H120" s="7"/>
      <c r="I120" s="7"/>
      <c r="J120" s="7"/>
      <c r="K120" s="7"/>
      <c r="L120" s="7"/>
      <c r="M120" s="7"/>
      <c r="N120" s="7"/>
      <c r="O120" s="7"/>
      <c r="P120" s="7"/>
      <c r="Q120" s="7"/>
      <c r="R120" s="7"/>
      <c r="S120" s="7"/>
      <c r="T120" s="7"/>
      <c r="U120" s="7"/>
      <c r="V120" s="7"/>
      <c r="AU120" s="7"/>
    </row>
    <row r="121" spans="1:47" x14ac:dyDescent="0.2">
      <c r="A121" s="7"/>
      <c r="B121" s="7"/>
      <c r="C121" s="7"/>
      <c r="D121" s="7"/>
      <c r="E121" s="7"/>
      <c r="F121" s="7"/>
      <c r="G121" s="7"/>
      <c r="H121" s="7"/>
      <c r="I121" s="7"/>
      <c r="J121" s="7"/>
      <c r="K121" s="7"/>
      <c r="L121" s="7"/>
      <c r="M121" s="7"/>
      <c r="N121" s="7"/>
      <c r="O121" s="7"/>
      <c r="P121" s="7"/>
      <c r="Q121" s="7"/>
      <c r="R121" s="7"/>
      <c r="S121" s="7"/>
      <c r="T121" s="7"/>
      <c r="U121" s="7"/>
      <c r="V121" s="7"/>
      <c r="AU121" s="7"/>
    </row>
    <row r="122" spans="1:47" x14ac:dyDescent="0.2">
      <c r="A122" s="7"/>
      <c r="B122" s="7"/>
      <c r="C122" s="7"/>
      <c r="D122" s="7"/>
      <c r="E122" s="7"/>
      <c r="F122" s="7"/>
      <c r="G122" s="7"/>
      <c r="H122" s="7"/>
      <c r="I122" s="7"/>
      <c r="J122" s="7"/>
      <c r="K122" s="7"/>
      <c r="L122" s="7"/>
      <c r="M122" s="7"/>
      <c r="N122" s="7"/>
      <c r="O122" s="7"/>
      <c r="P122" s="7"/>
      <c r="Q122" s="7"/>
      <c r="R122" s="7"/>
      <c r="S122" s="7"/>
      <c r="T122" s="7"/>
      <c r="U122" s="7"/>
      <c r="V122" s="7"/>
      <c r="AU122" s="7"/>
    </row>
    <row r="123" spans="1:47" x14ac:dyDescent="0.2">
      <c r="A123" s="7"/>
      <c r="B123" s="7"/>
      <c r="C123" s="7"/>
      <c r="D123" s="7"/>
      <c r="E123" s="7"/>
      <c r="F123" s="7"/>
      <c r="G123" s="7"/>
      <c r="H123" s="7"/>
      <c r="I123" s="7"/>
      <c r="J123" s="7"/>
      <c r="K123" s="7"/>
      <c r="L123" s="7"/>
      <c r="M123" s="7"/>
      <c r="N123" s="7"/>
      <c r="O123" s="7"/>
      <c r="P123" s="7"/>
      <c r="Q123" s="7"/>
      <c r="R123" s="7"/>
      <c r="S123" s="7"/>
      <c r="T123" s="7"/>
      <c r="U123" s="7"/>
      <c r="V123" s="7"/>
      <c r="AU123" s="7"/>
    </row>
    <row r="124" spans="1:47" x14ac:dyDescent="0.2">
      <c r="A124" s="7"/>
      <c r="B124" s="7"/>
      <c r="C124" s="7"/>
      <c r="D124" s="7"/>
      <c r="E124" s="7"/>
      <c r="F124" s="7"/>
      <c r="G124" s="7"/>
      <c r="H124" s="7"/>
      <c r="I124" s="7"/>
      <c r="J124" s="7"/>
      <c r="K124" s="7"/>
      <c r="L124" s="7"/>
      <c r="M124" s="7"/>
      <c r="N124" s="7"/>
      <c r="O124" s="7"/>
      <c r="P124" s="7"/>
      <c r="Q124" s="7"/>
      <c r="R124" s="7"/>
      <c r="S124" s="7"/>
      <c r="T124" s="7"/>
      <c r="U124" s="7"/>
      <c r="V124" s="7"/>
      <c r="AU124" s="7"/>
    </row>
    <row r="125" spans="1:47" x14ac:dyDescent="0.2">
      <c r="A125" s="7"/>
      <c r="B125" s="7"/>
      <c r="C125" s="7"/>
      <c r="D125" s="7"/>
      <c r="E125" s="7"/>
      <c r="F125" s="7"/>
      <c r="G125" s="7"/>
      <c r="H125" s="7"/>
      <c r="I125" s="7"/>
      <c r="J125" s="7"/>
      <c r="K125" s="7"/>
      <c r="L125" s="7"/>
      <c r="M125" s="7"/>
      <c r="N125" s="7"/>
      <c r="O125" s="7"/>
      <c r="P125" s="7"/>
      <c r="Q125" s="7"/>
      <c r="R125" s="7"/>
      <c r="S125" s="7"/>
      <c r="T125" s="7"/>
      <c r="U125" s="7"/>
      <c r="V125" s="7"/>
      <c r="AU125" s="7"/>
    </row>
    <row r="126" spans="1:47" x14ac:dyDescent="0.2">
      <c r="A126" s="7"/>
      <c r="B126" s="7"/>
      <c r="C126" s="7"/>
      <c r="D126" s="7"/>
      <c r="E126" s="7"/>
      <c r="F126" s="7"/>
      <c r="G126" s="7"/>
      <c r="H126" s="7"/>
      <c r="I126" s="7"/>
      <c r="J126" s="7"/>
      <c r="K126" s="7"/>
      <c r="L126" s="7"/>
      <c r="M126" s="7"/>
      <c r="N126" s="7"/>
      <c r="O126" s="7"/>
      <c r="P126" s="7"/>
      <c r="Q126" s="7"/>
      <c r="R126" s="7"/>
      <c r="S126" s="7"/>
      <c r="T126" s="7"/>
      <c r="U126" s="7"/>
      <c r="V126" s="7"/>
      <c r="AU126" s="7"/>
    </row>
    <row r="127" spans="1:47" x14ac:dyDescent="0.2">
      <c r="A127" s="7"/>
      <c r="B127" s="7"/>
      <c r="C127" s="7"/>
      <c r="D127" s="7"/>
      <c r="E127" s="7"/>
      <c r="F127" s="7"/>
      <c r="G127" s="7"/>
      <c r="H127" s="7"/>
      <c r="I127" s="7"/>
      <c r="J127" s="7"/>
      <c r="K127" s="7"/>
      <c r="L127" s="7"/>
      <c r="M127" s="7"/>
      <c r="N127" s="7"/>
      <c r="O127" s="7"/>
      <c r="P127" s="7"/>
      <c r="Q127" s="7"/>
      <c r="R127" s="7"/>
      <c r="S127" s="7"/>
      <c r="T127" s="7"/>
      <c r="U127" s="7"/>
      <c r="V127" s="7"/>
      <c r="AU127" s="7"/>
    </row>
    <row r="128" spans="1:47" x14ac:dyDescent="0.2">
      <c r="A128" s="7"/>
      <c r="B128" s="7"/>
      <c r="C128" s="7"/>
      <c r="D128" s="7"/>
      <c r="E128" s="7"/>
      <c r="F128" s="7"/>
      <c r="G128" s="7"/>
      <c r="H128" s="7"/>
      <c r="I128" s="7"/>
      <c r="J128" s="7"/>
      <c r="K128" s="7"/>
      <c r="L128" s="7"/>
      <c r="M128" s="7"/>
      <c r="N128" s="7"/>
      <c r="O128" s="7"/>
      <c r="P128" s="7"/>
      <c r="Q128" s="7"/>
      <c r="R128" s="7"/>
      <c r="S128" s="7"/>
      <c r="T128" s="7"/>
      <c r="U128" s="7"/>
      <c r="V128" s="7"/>
      <c r="AU128" s="7"/>
    </row>
    <row r="129" spans="1:47" x14ac:dyDescent="0.2">
      <c r="A129" s="7"/>
      <c r="B129" s="7"/>
      <c r="C129" s="7"/>
      <c r="D129" s="7"/>
      <c r="E129" s="7"/>
      <c r="F129" s="7"/>
      <c r="G129" s="7"/>
      <c r="H129" s="7"/>
      <c r="I129" s="7"/>
      <c r="J129" s="7"/>
      <c r="K129" s="7"/>
      <c r="L129" s="7"/>
      <c r="M129" s="7"/>
      <c r="N129" s="7"/>
      <c r="O129" s="7"/>
      <c r="P129" s="7"/>
      <c r="Q129" s="7"/>
      <c r="R129" s="7"/>
      <c r="S129" s="7"/>
      <c r="T129" s="7"/>
      <c r="U129" s="7"/>
      <c r="V129" s="7"/>
      <c r="AU129" s="7"/>
    </row>
    <row r="130" spans="1:47" x14ac:dyDescent="0.2">
      <c r="A130" s="7"/>
      <c r="B130" s="7"/>
      <c r="C130" s="7"/>
      <c r="D130" s="7"/>
      <c r="E130" s="7"/>
      <c r="F130" s="7"/>
      <c r="G130" s="7"/>
      <c r="H130" s="7"/>
      <c r="I130" s="7"/>
      <c r="J130" s="7"/>
      <c r="K130" s="7"/>
      <c r="L130" s="7"/>
      <c r="M130" s="7"/>
      <c r="N130" s="7"/>
      <c r="O130" s="7"/>
      <c r="P130" s="7"/>
      <c r="Q130" s="7"/>
      <c r="R130" s="7"/>
      <c r="S130" s="7"/>
      <c r="T130" s="7"/>
      <c r="U130" s="7"/>
      <c r="V130" s="7"/>
      <c r="AU130" s="7"/>
    </row>
    <row r="131" spans="1:47" x14ac:dyDescent="0.2">
      <c r="A131" s="7"/>
      <c r="B131" s="7"/>
      <c r="C131" s="7"/>
      <c r="D131" s="7"/>
      <c r="E131" s="7"/>
      <c r="F131" s="7"/>
      <c r="G131" s="7"/>
      <c r="H131" s="7"/>
      <c r="I131" s="7"/>
      <c r="J131" s="7"/>
      <c r="K131" s="7"/>
      <c r="L131" s="7"/>
      <c r="M131" s="7"/>
      <c r="N131" s="7"/>
      <c r="O131" s="7"/>
      <c r="P131" s="7"/>
      <c r="Q131" s="7"/>
      <c r="R131" s="7"/>
      <c r="S131" s="7"/>
      <c r="T131" s="7"/>
      <c r="U131" s="7"/>
      <c r="V131" s="7"/>
      <c r="AU131" s="7"/>
    </row>
    <row r="132" spans="1:47" x14ac:dyDescent="0.2">
      <c r="A132" s="7"/>
      <c r="B132" s="7"/>
      <c r="C132" s="7"/>
      <c r="D132" s="7"/>
      <c r="E132" s="7"/>
      <c r="F132" s="7"/>
      <c r="G132" s="7"/>
      <c r="H132" s="7"/>
      <c r="I132" s="7"/>
      <c r="J132" s="7"/>
      <c r="K132" s="7"/>
      <c r="L132" s="7"/>
      <c r="M132" s="7"/>
      <c r="N132" s="7"/>
      <c r="O132" s="7"/>
      <c r="P132" s="7"/>
      <c r="Q132" s="7"/>
      <c r="R132" s="7"/>
      <c r="S132" s="7"/>
      <c r="T132" s="7"/>
      <c r="U132" s="7"/>
      <c r="V132" s="7"/>
      <c r="AU132" s="7"/>
    </row>
    <row r="133" spans="1:47" x14ac:dyDescent="0.2">
      <c r="A133" s="7"/>
      <c r="B133" s="7"/>
      <c r="C133" s="7"/>
      <c r="D133" s="7"/>
      <c r="E133" s="7"/>
      <c r="F133" s="7"/>
      <c r="G133" s="7"/>
      <c r="H133" s="7"/>
      <c r="I133" s="7"/>
      <c r="J133" s="7"/>
      <c r="K133" s="7"/>
      <c r="L133" s="7"/>
      <c r="M133" s="7"/>
      <c r="N133" s="7"/>
      <c r="O133" s="7"/>
      <c r="P133" s="7"/>
      <c r="Q133" s="7"/>
      <c r="R133" s="7"/>
      <c r="S133" s="7"/>
      <c r="T133" s="7"/>
      <c r="U133" s="7"/>
      <c r="V133" s="7"/>
      <c r="AU133" s="7"/>
    </row>
    <row r="134" spans="1:47" x14ac:dyDescent="0.2">
      <c r="A134" s="7"/>
      <c r="B134" s="7"/>
      <c r="C134" s="7"/>
      <c r="D134" s="7"/>
      <c r="E134" s="7"/>
      <c r="F134" s="7"/>
      <c r="G134" s="7"/>
      <c r="H134" s="7"/>
      <c r="I134" s="7"/>
      <c r="J134" s="7"/>
      <c r="K134" s="7"/>
      <c r="L134" s="7"/>
      <c r="M134" s="7"/>
      <c r="N134" s="7"/>
      <c r="O134" s="7"/>
      <c r="P134" s="7"/>
      <c r="Q134" s="7"/>
      <c r="R134" s="7"/>
      <c r="S134" s="7"/>
      <c r="T134" s="7"/>
      <c r="U134" s="7"/>
      <c r="V134" s="7"/>
      <c r="AU134" s="7"/>
    </row>
    <row r="135" spans="1:47" x14ac:dyDescent="0.2">
      <c r="A135" s="7"/>
      <c r="B135" s="7"/>
      <c r="C135" s="7"/>
      <c r="D135" s="7"/>
      <c r="E135" s="7"/>
      <c r="F135" s="7"/>
      <c r="G135" s="7"/>
      <c r="H135" s="7"/>
      <c r="I135" s="7"/>
      <c r="J135" s="7"/>
      <c r="K135" s="7"/>
      <c r="L135" s="7"/>
      <c r="M135" s="7"/>
      <c r="N135" s="7"/>
      <c r="O135" s="7"/>
      <c r="P135" s="7"/>
      <c r="Q135" s="7"/>
      <c r="R135" s="7"/>
      <c r="S135" s="7"/>
      <c r="T135" s="7"/>
      <c r="U135" s="7"/>
      <c r="V135" s="7"/>
      <c r="AU135" s="7"/>
    </row>
    <row r="136" spans="1:47" x14ac:dyDescent="0.2">
      <c r="A136" s="7"/>
      <c r="B136" s="7"/>
      <c r="C136" s="7"/>
      <c r="D136" s="7"/>
      <c r="E136" s="7"/>
      <c r="F136" s="7"/>
      <c r="G136" s="7"/>
      <c r="H136" s="7"/>
      <c r="I136" s="7"/>
      <c r="J136" s="7"/>
      <c r="K136" s="7"/>
      <c r="L136" s="7"/>
      <c r="M136" s="7"/>
      <c r="N136" s="7"/>
      <c r="O136" s="7"/>
      <c r="P136" s="7"/>
      <c r="Q136" s="7"/>
      <c r="R136" s="7"/>
      <c r="S136" s="7"/>
      <c r="T136" s="7"/>
      <c r="U136" s="7"/>
      <c r="V136" s="7"/>
      <c r="AU136" s="7"/>
    </row>
    <row r="137" spans="1:47" x14ac:dyDescent="0.2">
      <c r="A137" s="7"/>
      <c r="B137" s="7"/>
      <c r="C137" s="7"/>
      <c r="D137" s="7"/>
      <c r="E137" s="7"/>
      <c r="F137" s="7"/>
      <c r="G137" s="7"/>
      <c r="H137" s="7"/>
      <c r="I137" s="7"/>
      <c r="J137" s="7"/>
      <c r="K137" s="7"/>
      <c r="L137" s="7"/>
      <c r="M137" s="7"/>
      <c r="N137" s="7"/>
      <c r="O137" s="7"/>
      <c r="P137" s="7"/>
      <c r="Q137" s="7"/>
      <c r="R137" s="7"/>
      <c r="S137" s="7"/>
      <c r="T137" s="7"/>
      <c r="U137" s="7"/>
      <c r="V137" s="7"/>
      <c r="AU137" s="7"/>
    </row>
    <row r="138" spans="1:47" x14ac:dyDescent="0.2">
      <c r="A138" s="7"/>
      <c r="B138" s="7"/>
      <c r="C138" s="7"/>
      <c r="D138" s="7"/>
      <c r="E138" s="7"/>
      <c r="F138" s="7"/>
      <c r="G138" s="7"/>
      <c r="H138" s="7"/>
      <c r="I138" s="7"/>
      <c r="J138" s="7"/>
      <c r="K138" s="7"/>
      <c r="L138" s="7"/>
      <c r="M138" s="7"/>
      <c r="N138" s="7"/>
      <c r="O138" s="7"/>
      <c r="P138" s="7"/>
      <c r="Q138" s="7"/>
      <c r="R138" s="7"/>
      <c r="S138" s="7"/>
      <c r="T138" s="7"/>
      <c r="U138" s="7"/>
      <c r="V138" s="7"/>
      <c r="AU138" s="7"/>
    </row>
    <row r="139" spans="1:47" x14ac:dyDescent="0.2">
      <c r="A139" s="7"/>
      <c r="B139" s="7"/>
      <c r="C139" s="7"/>
      <c r="D139" s="7"/>
      <c r="E139" s="7"/>
      <c r="F139" s="7"/>
      <c r="G139" s="7"/>
      <c r="H139" s="7"/>
      <c r="I139" s="7"/>
      <c r="J139" s="7"/>
      <c r="K139" s="7"/>
      <c r="L139" s="7"/>
      <c r="M139" s="7"/>
      <c r="N139" s="7"/>
      <c r="O139" s="7"/>
      <c r="P139" s="7"/>
      <c r="Q139" s="7"/>
      <c r="R139" s="7"/>
      <c r="S139" s="7"/>
      <c r="T139" s="7"/>
      <c r="U139" s="7"/>
      <c r="V139" s="7"/>
      <c r="AU139" s="7"/>
    </row>
    <row r="140" spans="1:47" x14ac:dyDescent="0.2">
      <c r="A140" s="7"/>
      <c r="B140" s="7"/>
      <c r="C140" s="7"/>
      <c r="D140" s="7"/>
      <c r="E140" s="7"/>
      <c r="F140" s="7"/>
      <c r="G140" s="7"/>
      <c r="H140" s="7"/>
      <c r="I140" s="7"/>
      <c r="J140" s="7"/>
      <c r="K140" s="7"/>
      <c r="L140" s="7"/>
      <c r="M140" s="7"/>
      <c r="N140" s="7"/>
      <c r="O140" s="7"/>
      <c r="P140" s="7"/>
      <c r="Q140" s="7"/>
      <c r="R140" s="7"/>
      <c r="S140" s="7"/>
      <c r="T140" s="7"/>
      <c r="U140" s="7"/>
      <c r="V140" s="7"/>
      <c r="AU140" s="7"/>
    </row>
    <row r="141" spans="1:47" x14ac:dyDescent="0.2">
      <c r="A141" s="7"/>
      <c r="B141" s="7"/>
      <c r="C141" s="7"/>
      <c r="D141" s="7"/>
      <c r="E141" s="7"/>
      <c r="F141" s="7"/>
      <c r="G141" s="7"/>
      <c r="H141" s="7"/>
      <c r="I141" s="7"/>
      <c r="J141" s="7"/>
      <c r="K141" s="7"/>
      <c r="L141" s="7"/>
      <c r="M141" s="7"/>
      <c r="N141" s="7"/>
      <c r="O141" s="7"/>
      <c r="P141" s="7"/>
      <c r="Q141" s="7"/>
      <c r="R141" s="7"/>
      <c r="S141" s="7"/>
      <c r="T141" s="7"/>
      <c r="U141" s="7"/>
      <c r="V141" s="7"/>
      <c r="AU141" s="7"/>
    </row>
    <row r="142" spans="1:47" x14ac:dyDescent="0.2">
      <c r="A142" s="7"/>
      <c r="B142" s="7"/>
      <c r="C142" s="7"/>
      <c r="D142" s="7"/>
      <c r="E142" s="7"/>
      <c r="F142" s="7"/>
      <c r="G142" s="7"/>
      <c r="H142" s="7"/>
      <c r="I142" s="7"/>
      <c r="J142" s="7"/>
      <c r="K142" s="7"/>
      <c r="L142" s="7"/>
      <c r="M142" s="7"/>
      <c r="N142" s="7"/>
      <c r="O142" s="7"/>
      <c r="P142" s="7"/>
      <c r="Q142" s="7"/>
      <c r="R142" s="7"/>
      <c r="S142" s="7"/>
      <c r="T142" s="7"/>
      <c r="U142" s="7"/>
      <c r="V142" s="7"/>
      <c r="AU142" s="7"/>
    </row>
    <row r="143" spans="1:47" x14ac:dyDescent="0.2">
      <c r="A143" s="7"/>
      <c r="B143" s="7"/>
      <c r="C143" s="7"/>
      <c r="D143" s="7"/>
      <c r="E143" s="7"/>
      <c r="F143" s="7"/>
      <c r="G143" s="7"/>
      <c r="H143" s="7"/>
      <c r="I143" s="7"/>
      <c r="J143" s="7"/>
      <c r="K143" s="7"/>
      <c r="L143" s="7"/>
      <c r="M143" s="7"/>
      <c r="N143" s="7"/>
      <c r="O143" s="7"/>
      <c r="P143" s="7"/>
      <c r="Q143" s="7"/>
      <c r="R143" s="7"/>
      <c r="S143" s="7"/>
      <c r="T143" s="7"/>
      <c r="U143" s="7"/>
      <c r="V143" s="7"/>
      <c r="AU143" s="7"/>
    </row>
    <row r="144" spans="1:47" x14ac:dyDescent="0.2">
      <c r="A144" s="7"/>
      <c r="B144" s="7"/>
      <c r="C144" s="7"/>
      <c r="D144" s="7"/>
      <c r="E144" s="7"/>
      <c r="F144" s="7"/>
      <c r="G144" s="7"/>
      <c r="H144" s="7"/>
      <c r="I144" s="7"/>
      <c r="J144" s="7"/>
      <c r="K144" s="7"/>
      <c r="L144" s="7"/>
      <c r="M144" s="7"/>
      <c r="N144" s="7"/>
      <c r="O144" s="7"/>
      <c r="P144" s="7"/>
      <c r="Q144" s="7"/>
      <c r="R144" s="7"/>
      <c r="S144" s="7"/>
      <c r="T144" s="7"/>
      <c r="U144" s="7"/>
      <c r="V144" s="7"/>
      <c r="AU144" s="7"/>
    </row>
    <row r="145" spans="1:47" x14ac:dyDescent="0.2">
      <c r="A145" s="7"/>
      <c r="B145" s="7"/>
      <c r="C145" s="7"/>
      <c r="D145" s="7"/>
      <c r="E145" s="7"/>
      <c r="F145" s="7"/>
      <c r="G145" s="7"/>
      <c r="H145" s="7"/>
      <c r="I145" s="7"/>
      <c r="J145" s="7"/>
      <c r="K145" s="7"/>
      <c r="L145" s="7"/>
      <c r="M145" s="7"/>
      <c r="N145" s="7"/>
      <c r="O145" s="7"/>
      <c r="P145" s="7"/>
      <c r="Q145" s="7"/>
      <c r="R145" s="7"/>
      <c r="S145" s="7"/>
      <c r="T145" s="7"/>
      <c r="U145" s="7"/>
      <c r="V145" s="7"/>
      <c r="AU145" s="7"/>
    </row>
    <row r="146" spans="1:47" x14ac:dyDescent="0.2">
      <c r="A146" s="7"/>
      <c r="B146" s="7"/>
      <c r="C146" s="7"/>
      <c r="D146" s="7"/>
      <c r="E146" s="7"/>
      <c r="F146" s="7"/>
      <c r="G146" s="7"/>
      <c r="H146" s="7"/>
      <c r="I146" s="7"/>
      <c r="J146" s="7"/>
      <c r="K146" s="7"/>
      <c r="L146" s="7"/>
      <c r="M146" s="7"/>
      <c r="N146" s="7"/>
      <c r="O146" s="7"/>
      <c r="P146" s="7"/>
      <c r="Q146" s="7"/>
      <c r="R146" s="7"/>
      <c r="S146" s="7"/>
      <c r="T146" s="7"/>
      <c r="U146" s="7"/>
      <c r="V146" s="7"/>
      <c r="AU146" s="7"/>
    </row>
    <row r="147" spans="1:47" x14ac:dyDescent="0.2">
      <c r="A147" s="7"/>
      <c r="B147" s="7"/>
      <c r="C147" s="7"/>
      <c r="D147" s="7"/>
      <c r="E147" s="7"/>
      <c r="F147" s="7"/>
      <c r="G147" s="7"/>
      <c r="H147" s="7"/>
      <c r="I147" s="7"/>
      <c r="J147" s="7"/>
      <c r="K147" s="7"/>
      <c r="L147" s="7"/>
      <c r="M147" s="7"/>
      <c r="N147" s="7"/>
      <c r="O147" s="7"/>
      <c r="P147" s="7"/>
      <c r="Q147" s="7"/>
      <c r="R147" s="7"/>
      <c r="S147" s="7"/>
      <c r="T147" s="7"/>
      <c r="U147" s="7"/>
      <c r="V147" s="7"/>
      <c r="AU147" s="7"/>
    </row>
    <row r="148" spans="1:47" x14ac:dyDescent="0.2">
      <c r="A148" s="7"/>
      <c r="B148" s="7"/>
      <c r="C148" s="7"/>
      <c r="D148" s="7"/>
      <c r="E148" s="7"/>
      <c r="F148" s="7"/>
      <c r="G148" s="7"/>
      <c r="H148" s="7"/>
      <c r="I148" s="7"/>
      <c r="J148" s="7"/>
      <c r="K148" s="7"/>
      <c r="L148" s="7"/>
      <c r="M148" s="7"/>
      <c r="N148" s="7"/>
      <c r="O148" s="7"/>
      <c r="P148" s="7"/>
      <c r="Q148" s="7"/>
      <c r="R148" s="7"/>
      <c r="S148" s="7"/>
      <c r="T148" s="7"/>
      <c r="U148" s="7"/>
      <c r="V148" s="7"/>
      <c r="AU148" s="7"/>
    </row>
    <row r="149" spans="1:47" x14ac:dyDescent="0.2">
      <c r="A149" s="7"/>
      <c r="B149" s="7"/>
      <c r="C149" s="7"/>
      <c r="D149" s="7"/>
      <c r="E149" s="7"/>
      <c r="F149" s="7"/>
      <c r="G149" s="7"/>
      <c r="H149" s="7"/>
      <c r="I149" s="7"/>
      <c r="J149" s="7"/>
      <c r="K149" s="7"/>
      <c r="L149" s="7"/>
      <c r="M149" s="7"/>
      <c r="N149" s="7"/>
      <c r="O149" s="7"/>
      <c r="P149" s="7"/>
      <c r="Q149" s="7"/>
      <c r="R149" s="7"/>
      <c r="S149" s="7"/>
      <c r="T149" s="7"/>
      <c r="U149" s="7"/>
      <c r="V149" s="7"/>
      <c r="AU149" s="7"/>
    </row>
    <row r="150" spans="1:47" x14ac:dyDescent="0.2">
      <c r="A150" s="7"/>
      <c r="B150" s="7"/>
      <c r="C150" s="7"/>
      <c r="D150" s="7"/>
      <c r="E150" s="7"/>
      <c r="F150" s="7"/>
      <c r="G150" s="7"/>
      <c r="H150" s="7"/>
      <c r="I150" s="7"/>
      <c r="J150" s="7"/>
      <c r="K150" s="7"/>
      <c r="L150" s="7"/>
      <c r="M150" s="7"/>
      <c r="N150" s="7"/>
      <c r="O150" s="7"/>
      <c r="P150" s="7"/>
      <c r="Q150" s="7"/>
      <c r="R150" s="7"/>
      <c r="S150" s="7"/>
      <c r="T150" s="7"/>
      <c r="U150" s="7"/>
      <c r="V150" s="7"/>
      <c r="AU150" s="7"/>
    </row>
    <row r="151" spans="1:47" x14ac:dyDescent="0.2">
      <c r="A151" s="7"/>
      <c r="B151" s="7"/>
      <c r="C151" s="7"/>
      <c r="D151" s="7"/>
      <c r="E151" s="7"/>
      <c r="F151" s="7"/>
      <c r="G151" s="7"/>
      <c r="H151" s="7"/>
      <c r="I151" s="7"/>
      <c r="J151" s="7"/>
      <c r="K151" s="7"/>
      <c r="L151" s="7"/>
      <c r="M151" s="7"/>
      <c r="N151" s="7"/>
      <c r="O151" s="7"/>
      <c r="P151" s="7"/>
      <c r="Q151" s="7"/>
      <c r="R151" s="7"/>
      <c r="S151" s="7"/>
      <c r="T151" s="7"/>
      <c r="U151" s="7"/>
      <c r="V151" s="7"/>
      <c r="AU151" s="7"/>
    </row>
    <row r="152" spans="1:47" x14ac:dyDescent="0.2">
      <c r="A152" s="7"/>
      <c r="B152" s="7"/>
      <c r="C152" s="7"/>
      <c r="D152" s="7"/>
      <c r="E152" s="7"/>
      <c r="F152" s="7"/>
      <c r="G152" s="7"/>
      <c r="H152" s="7"/>
      <c r="I152" s="7"/>
      <c r="J152" s="7"/>
      <c r="K152" s="7"/>
      <c r="L152" s="7"/>
      <c r="M152" s="7"/>
      <c r="N152" s="7"/>
      <c r="O152" s="7"/>
      <c r="P152" s="7"/>
      <c r="Q152" s="7"/>
      <c r="R152" s="7"/>
      <c r="S152" s="7"/>
      <c r="T152" s="7"/>
      <c r="U152" s="7"/>
      <c r="V152" s="7"/>
      <c r="AU152" s="7"/>
    </row>
    <row r="153" spans="1:47" x14ac:dyDescent="0.2">
      <c r="A153" s="7"/>
      <c r="B153" s="7"/>
      <c r="C153" s="7"/>
      <c r="D153" s="7"/>
      <c r="E153" s="7"/>
      <c r="F153" s="7"/>
      <c r="G153" s="7"/>
      <c r="H153" s="7"/>
      <c r="I153" s="7"/>
      <c r="J153" s="7"/>
      <c r="K153" s="7"/>
      <c r="L153" s="7"/>
      <c r="M153" s="7"/>
      <c r="N153" s="7"/>
      <c r="O153" s="7"/>
      <c r="P153" s="7"/>
      <c r="Q153" s="7"/>
      <c r="R153" s="7"/>
      <c r="S153" s="7"/>
      <c r="T153" s="7"/>
      <c r="U153" s="7"/>
      <c r="V153" s="7"/>
      <c r="AU153" s="7"/>
    </row>
    <row r="154" spans="1:47" x14ac:dyDescent="0.2">
      <c r="A154" s="7"/>
      <c r="B154" s="7"/>
      <c r="C154" s="7"/>
      <c r="D154" s="7"/>
      <c r="E154" s="7"/>
      <c r="F154" s="7"/>
      <c r="G154" s="7"/>
      <c r="H154" s="7"/>
      <c r="I154" s="7"/>
      <c r="J154" s="7"/>
      <c r="K154" s="7"/>
      <c r="L154" s="7"/>
      <c r="M154" s="7"/>
      <c r="N154" s="7"/>
      <c r="O154" s="7"/>
      <c r="P154" s="7"/>
      <c r="Q154" s="7"/>
      <c r="R154" s="7"/>
      <c r="S154" s="7"/>
      <c r="T154" s="7"/>
      <c r="U154" s="7"/>
      <c r="V154" s="7"/>
      <c r="AU154" s="7"/>
    </row>
    <row r="155" spans="1:47" x14ac:dyDescent="0.2">
      <c r="A155" s="7"/>
      <c r="B155" s="7"/>
      <c r="C155" s="7"/>
      <c r="D155" s="7"/>
      <c r="E155" s="7"/>
      <c r="F155" s="7"/>
      <c r="G155" s="7"/>
      <c r="H155" s="7"/>
      <c r="I155" s="7"/>
      <c r="J155" s="7"/>
      <c r="K155" s="7"/>
      <c r="L155" s="7"/>
      <c r="M155" s="7"/>
      <c r="N155" s="7"/>
      <c r="O155" s="7"/>
      <c r="P155" s="7"/>
      <c r="Q155" s="7"/>
      <c r="R155" s="7"/>
      <c r="S155" s="7"/>
      <c r="T155" s="7"/>
      <c r="U155" s="7"/>
      <c r="V155" s="7"/>
      <c r="AU155" s="7"/>
    </row>
    <row r="156" spans="1:47" x14ac:dyDescent="0.2">
      <c r="A156" s="7"/>
      <c r="B156" s="7"/>
      <c r="C156" s="7"/>
      <c r="D156" s="7"/>
      <c r="E156" s="7"/>
      <c r="F156" s="7"/>
      <c r="G156" s="7"/>
      <c r="H156" s="7"/>
      <c r="I156" s="7"/>
      <c r="J156" s="7"/>
      <c r="K156" s="7"/>
      <c r="L156" s="7"/>
      <c r="M156" s="7"/>
      <c r="N156" s="7"/>
      <c r="O156" s="7"/>
      <c r="P156" s="7"/>
      <c r="Q156" s="7"/>
      <c r="R156" s="7"/>
      <c r="S156" s="7"/>
      <c r="T156" s="7"/>
      <c r="U156" s="7"/>
      <c r="V156" s="7"/>
      <c r="AU156" s="7"/>
    </row>
    <row r="157" spans="1:47" x14ac:dyDescent="0.2">
      <c r="A157" s="7"/>
      <c r="B157" s="7"/>
      <c r="C157" s="7"/>
      <c r="D157" s="7"/>
      <c r="E157" s="7"/>
      <c r="F157" s="7"/>
      <c r="G157" s="7"/>
      <c r="H157" s="7"/>
      <c r="I157" s="7"/>
      <c r="J157" s="7"/>
      <c r="K157" s="7"/>
      <c r="L157" s="7"/>
      <c r="M157" s="7"/>
      <c r="N157" s="7"/>
      <c r="O157" s="7"/>
      <c r="P157" s="7"/>
      <c r="Q157" s="7"/>
      <c r="R157" s="7"/>
      <c r="S157" s="7"/>
      <c r="T157" s="7"/>
      <c r="U157" s="7"/>
      <c r="V157" s="7"/>
      <c r="AU157" s="7"/>
    </row>
    <row r="158" spans="1:47" x14ac:dyDescent="0.2">
      <c r="A158" s="7"/>
      <c r="B158" s="7"/>
      <c r="C158" s="7"/>
      <c r="D158" s="7"/>
      <c r="E158" s="7"/>
      <c r="F158" s="7"/>
      <c r="G158" s="7"/>
      <c r="H158" s="7"/>
      <c r="I158" s="7"/>
      <c r="J158" s="7"/>
      <c r="K158" s="7"/>
      <c r="L158" s="7"/>
      <c r="M158" s="7"/>
      <c r="N158" s="7"/>
      <c r="O158" s="7"/>
      <c r="P158" s="7"/>
      <c r="Q158" s="7"/>
      <c r="R158" s="7"/>
      <c r="S158" s="7"/>
      <c r="T158" s="7"/>
      <c r="U158" s="7"/>
      <c r="V158" s="7"/>
      <c r="AU158" s="7"/>
    </row>
    <row r="159" spans="1:47" x14ac:dyDescent="0.2">
      <c r="A159" s="7"/>
      <c r="B159" s="7"/>
      <c r="C159" s="7"/>
      <c r="D159" s="7"/>
      <c r="E159" s="7"/>
      <c r="F159" s="7"/>
      <c r="G159" s="7"/>
      <c r="H159" s="7"/>
      <c r="I159" s="7"/>
      <c r="J159" s="7"/>
      <c r="K159" s="7"/>
      <c r="L159" s="7"/>
      <c r="M159" s="7"/>
      <c r="N159" s="7"/>
      <c r="O159" s="7"/>
      <c r="P159" s="7"/>
      <c r="Q159" s="7"/>
      <c r="R159" s="7"/>
      <c r="S159" s="7"/>
      <c r="T159" s="7"/>
      <c r="U159" s="7"/>
      <c r="V159" s="7"/>
      <c r="AU159" s="7"/>
    </row>
    <row r="160" spans="1:47" x14ac:dyDescent="0.2">
      <c r="A160" s="7"/>
      <c r="B160" s="7"/>
      <c r="C160" s="7"/>
      <c r="D160" s="7"/>
      <c r="E160" s="7"/>
      <c r="F160" s="7"/>
      <c r="G160" s="7"/>
      <c r="H160" s="7"/>
      <c r="I160" s="7"/>
      <c r="J160" s="7"/>
      <c r="K160" s="7"/>
      <c r="L160" s="7"/>
      <c r="M160" s="7"/>
      <c r="N160" s="7"/>
      <c r="O160" s="7"/>
      <c r="P160" s="7"/>
      <c r="Q160" s="7"/>
      <c r="R160" s="7"/>
      <c r="S160" s="7"/>
      <c r="T160" s="7"/>
      <c r="U160" s="7"/>
      <c r="V160" s="7"/>
      <c r="AU160" s="7"/>
    </row>
    <row r="161" spans="1:47" x14ac:dyDescent="0.2">
      <c r="A161" s="7"/>
      <c r="B161" s="7"/>
      <c r="C161" s="7"/>
      <c r="D161" s="7"/>
      <c r="E161" s="7"/>
      <c r="F161" s="7"/>
      <c r="G161" s="7"/>
      <c r="H161" s="7"/>
      <c r="I161" s="7"/>
      <c r="J161" s="7"/>
      <c r="K161" s="7"/>
      <c r="L161" s="7"/>
      <c r="M161" s="7"/>
      <c r="N161" s="7"/>
      <c r="O161" s="7"/>
      <c r="P161" s="7"/>
      <c r="Q161" s="7"/>
      <c r="R161" s="7"/>
      <c r="S161" s="7"/>
      <c r="T161" s="7"/>
      <c r="U161" s="7"/>
      <c r="V161" s="7"/>
      <c r="AU161" s="7"/>
    </row>
    <row r="162" spans="1:47" x14ac:dyDescent="0.2">
      <c r="A162" s="7"/>
      <c r="B162" s="7"/>
      <c r="C162" s="7"/>
      <c r="D162" s="7"/>
      <c r="E162" s="7"/>
      <c r="F162" s="7"/>
      <c r="G162" s="7"/>
      <c r="H162" s="7"/>
      <c r="I162" s="7"/>
      <c r="J162" s="7"/>
      <c r="K162" s="7"/>
      <c r="L162" s="7"/>
      <c r="M162" s="7"/>
      <c r="N162" s="7"/>
      <c r="O162" s="7"/>
      <c r="P162" s="7"/>
      <c r="Q162" s="7"/>
      <c r="R162" s="7"/>
      <c r="S162" s="7"/>
      <c r="T162" s="7"/>
      <c r="U162" s="7"/>
      <c r="V162" s="7"/>
      <c r="AU162" s="7"/>
    </row>
    <row r="163" spans="1:47" x14ac:dyDescent="0.2">
      <c r="A163" s="7"/>
      <c r="B163" s="7"/>
      <c r="C163" s="7"/>
      <c r="D163" s="7"/>
      <c r="E163" s="7"/>
      <c r="F163" s="7"/>
      <c r="G163" s="7"/>
      <c r="H163" s="7"/>
      <c r="I163" s="7"/>
      <c r="J163" s="7"/>
      <c r="K163" s="7"/>
      <c r="L163" s="7"/>
      <c r="M163" s="7"/>
      <c r="N163" s="7"/>
      <c r="O163" s="7"/>
      <c r="P163" s="7"/>
      <c r="Q163" s="7"/>
      <c r="R163" s="7"/>
      <c r="S163" s="7"/>
      <c r="T163" s="7"/>
      <c r="U163" s="7"/>
      <c r="V163" s="7"/>
      <c r="AU163" s="7"/>
    </row>
    <row r="164" spans="1:47" x14ac:dyDescent="0.2">
      <c r="A164" s="7"/>
      <c r="B164" s="7"/>
      <c r="C164" s="7"/>
      <c r="D164" s="7"/>
      <c r="E164" s="7"/>
      <c r="F164" s="7"/>
      <c r="G164" s="7"/>
      <c r="H164" s="7"/>
      <c r="I164" s="7"/>
      <c r="J164" s="7"/>
      <c r="K164" s="7"/>
      <c r="L164" s="7"/>
      <c r="M164" s="7"/>
      <c r="N164" s="7"/>
      <c r="O164" s="7"/>
      <c r="P164" s="7"/>
      <c r="Q164" s="7"/>
      <c r="R164" s="7"/>
      <c r="S164" s="7"/>
      <c r="T164" s="7"/>
      <c r="U164" s="7"/>
      <c r="V164" s="7"/>
      <c r="AU164" s="7"/>
    </row>
    <row r="165" spans="1:47" x14ac:dyDescent="0.2">
      <c r="A165" s="7"/>
      <c r="B165" s="7"/>
      <c r="C165" s="7"/>
      <c r="D165" s="7"/>
      <c r="E165" s="7"/>
      <c r="F165" s="7"/>
      <c r="G165" s="7"/>
      <c r="H165" s="7"/>
      <c r="I165" s="7"/>
      <c r="J165" s="7"/>
      <c r="K165" s="7"/>
      <c r="L165" s="7"/>
      <c r="M165" s="7"/>
      <c r="N165" s="7"/>
      <c r="O165" s="7"/>
      <c r="P165" s="7"/>
      <c r="Q165" s="7"/>
      <c r="R165" s="7"/>
      <c r="S165" s="7"/>
      <c r="T165" s="7"/>
      <c r="U165" s="7"/>
      <c r="V165" s="7"/>
      <c r="AU165" s="7"/>
    </row>
    <row r="166" spans="1:47" x14ac:dyDescent="0.2">
      <c r="A166" s="7"/>
      <c r="B166" s="7"/>
      <c r="C166" s="7"/>
      <c r="D166" s="7"/>
      <c r="E166" s="7"/>
      <c r="F166" s="7"/>
      <c r="G166" s="7"/>
      <c r="H166" s="7"/>
      <c r="I166" s="7"/>
      <c r="J166" s="7"/>
      <c r="K166" s="7"/>
      <c r="L166" s="7"/>
      <c r="M166" s="7"/>
      <c r="N166" s="7"/>
      <c r="O166" s="7"/>
      <c r="P166" s="7"/>
      <c r="Q166" s="7"/>
      <c r="R166" s="7"/>
      <c r="S166" s="7"/>
      <c r="T166" s="7"/>
      <c r="U166" s="7"/>
      <c r="V166" s="7"/>
      <c r="AU166" s="7"/>
    </row>
    <row r="167" spans="1:47" x14ac:dyDescent="0.2">
      <c r="A167" s="7"/>
      <c r="B167" s="7"/>
      <c r="C167" s="7"/>
      <c r="D167" s="7"/>
      <c r="E167" s="7"/>
      <c r="F167" s="7"/>
      <c r="G167" s="7"/>
      <c r="H167" s="7"/>
      <c r="I167" s="7"/>
      <c r="J167" s="7"/>
      <c r="K167" s="7"/>
      <c r="L167" s="7"/>
      <c r="M167" s="7"/>
      <c r="N167" s="7"/>
      <c r="O167" s="7"/>
      <c r="P167" s="7"/>
      <c r="Q167" s="7"/>
      <c r="R167" s="7"/>
      <c r="S167" s="7"/>
      <c r="T167" s="7"/>
      <c r="U167" s="7"/>
      <c r="V167" s="7"/>
      <c r="AU167" s="7"/>
    </row>
    <row r="168" spans="1:47" x14ac:dyDescent="0.2">
      <c r="A168" s="7"/>
      <c r="B168" s="7"/>
      <c r="C168" s="7"/>
      <c r="D168" s="7"/>
      <c r="E168" s="7"/>
      <c r="F168" s="7"/>
      <c r="G168" s="7"/>
      <c r="H168" s="7"/>
      <c r="I168" s="7"/>
      <c r="J168" s="7"/>
      <c r="K168" s="7"/>
      <c r="L168" s="7"/>
      <c r="M168" s="7"/>
      <c r="N168" s="7"/>
      <c r="O168" s="7"/>
      <c r="P168" s="7"/>
      <c r="Q168" s="7"/>
      <c r="R168" s="7"/>
      <c r="S168" s="7"/>
      <c r="T168" s="7"/>
      <c r="U168" s="7"/>
      <c r="V168" s="7"/>
      <c r="AU168" s="7"/>
    </row>
    <row r="169" spans="1:47" x14ac:dyDescent="0.2">
      <c r="A169" s="7"/>
      <c r="B169" s="7"/>
      <c r="C169" s="7"/>
      <c r="D169" s="7"/>
      <c r="E169" s="7"/>
      <c r="F169" s="7"/>
      <c r="G169" s="7"/>
      <c r="H169" s="7"/>
      <c r="I169" s="7"/>
      <c r="J169" s="7"/>
      <c r="K169" s="7"/>
      <c r="L169" s="7"/>
      <c r="M169" s="7"/>
      <c r="N169" s="7"/>
      <c r="O169" s="7"/>
      <c r="P169" s="7"/>
      <c r="Q169" s="7"/>
      <c r="R169" s="7"/>
      <c r="S169" s="7"/>
      <c r="T169" s="7"/>
      <c r="U169" s="7"/>
      <c r="V169" s="7"/>
      <c r="AU169" s="7"/>
    </row>
    <row r="170" spans="1:47" x14ac:dyDescent="0.2">
      <c r="A170" s="7"/>
      <c r="B170" s="7"/>
      <c r="C170" s="7"/>
      <c r="D170" s="7"/>
      <c r="E170" s="7"/>
      <c r="F170" s="7"/>
      <c r="G170" s="7"/>
      <c r="H170" s="7"/>
      <c r="I170" s="7"/>
      <c r="J170" s="7"/>
      <c r="K170" s="7"/>
      <c r="L170" s="7"/>
      <c r="M170" s="7"/>
      <c r="N170" s="7"/>
      <c r="O170" s="7"/>
      <c r="P170" s="7"/>
      <c r="Q170" s="7"/>
      <c r="R170" s="7"/>
      <c r="S170" s="7"/>
      <c r="T170" s="7"/>
      <c r="U170" s="7"/>
      <c r="V170" s="7"/>
      <c r="AU170" s="7"/>
    </row>
    <row r="171" spans="1:47" x14ac:dyDescent="0.2">
      <c r="A171" s="7"/>
      <c r="B171" s="7"/>
      <c r="C171" s="7"/>
      <c r="D171" s="7"/>
      <c r="E171" s="7"/>
      <c r="F171" s="7"/>
      <c r="G171" s="7"/>
      <c r="H171" s="7"/>
      <c r="I171" s="7"/>
      <c r="J171" s="7"/>
      <c r="K171" s="7"/>
      <c r="L171" s="7"/>
      <c r="M171" s="7"/>
      <c r="N171" s="7"/>
      <c r="O171" s="7"/>
      <c r="P171" s="7"/>
      <c r="Q171" s="7"/>
      <c r="R171" s="7"/>
      <c r="S171" s="7"/>
      <c r="T171" s="7"/>
      <c r="U171" s="7"/>
      <c r="V171" s="7"/>
      <c r="AU171" s="7"/>
    </row>
    <row r="172" spans="1:47" x14ac:dyDescent="0.2">
      <c r="A172" s="7"/>
      <c r="B172" s="7"/>
      <c r="C172" s="7"/>
      <c r="D172" s="7"/>
      <c r="E172" s="7"/>
      <c r="F172" s="7"/>
      <c r="G172" s="7"/>
      <c r="H172" s="7"/>
      <c r="I172" s="7"/>
      <c r="J172" s="7"/>
      <c r="K172" s="7"/>
      <c r="L172" s="7"/>
      <c r="M172" s="7"/>
      <c r="N172" s="7"/>
      <c r="O172" s="7"/>
      <c r="P172" s="7"/>
      <c r="Q172" s="7"/>
      <c r="R172" s="7"/>
      <c r="S172" s="7"/>
      <c r="T172" s="7"/>
      <c r="U172" s="7"/>
      <c r="V172" s="7"/>
      <c r="AU172" s="7"/>
    </row>
    <row r="173" spans="1:47" x14ac:dyDescent="0.2">
      <c r="A173" s="7"/>
      <c r="B173" s="7"/>
      <c r="C173" s="7"/>
      <c r="D173" s="7"/>
      <c r="E173" s="7"/>
      <c r="F173" s="7"/>
      <c r="G173" s="7"/>
      <c r="H173" s="7"/>
      <c r="I173" s="7"/>
      <c r="J173" s="7"/>
      <c r="K173" s="7"/>
      <c r="L173" s="7"/>
      <c r="M173" s="7"/>
      <c r="N173" s="7"/>
      <c r="O173" s="7"/>
      <c r="P173" s="7"/>
      <c r="Q173" s="7"/>
      <c r="R173" s="7"/>
      <c r="S173" s="7"/>
      <c r="T173" s="7"/>
      <c r="U173" s="7"/>
      <c r="V173" s="7"/>
      <c r="AU173" s="7"/>
    </row>
    <row r="174" spans="1:47" x14ac:dyDescent="0.2">
      <c r="A174" s="7"/>
      <c r="B174" s="7"/>
      <c r="C174" s="7"/>
      <c r="D174" s="7"/>
      <c r="E174" s="7"/>
      <c r="F174" s="7"/>
      <c r="G174" s="7"/>
      <c r="H174" s="7"/>
      <c r="I174" s="7"/>
      <c r="J174" s="7"/>
      <c r="K174" s="7"/>
      <c r="L174" s="7"/>
      <c r="M174" s="7"/>
      <c r="N174" s="7"/>
      <c r="O174" s="7"/>
      <c r="P174" s="7"/>
      <c r="Q174" s="7"/>
      <c r="R174" s="7"/>
      <c r="S174" s="7"/>
      <c r="T174" s="7"/>
      <c r="U174" s="7"/>
      <c r="V174" s="7"/>
      <c r="AU174" s="7"/>
    </row>
    <row r="175" spans="1:47" x14ac:dyDescent="0.2">
      <c r="A175" s="7"/>
      <c r="B175" s="7"/>
      <c r="C175" s="7"/>
      <c r="D175" s="7"/>
      <c r="E175" s="7"/>
      <c r="F175" s="7"/>
      <c r="G175" s="7"/>
      <c r="H175" s="7"/>
      <c r="I175" s="7"/>
      <c r="J175" s="7"/>
      <c r="K175" s="7"/>
      <c r="L175" s="7"/>
      <c r="M175" s="7"/>
      <c r="N175" s="7"/>
      <c r="O175" s="7"/>
      <c r="P175" s="7"/>
      <c r="Q175" s="7"/>
      <c r="R175" s="7"/>
      <c r="S175" s="7"/>
      <c r="T175" s="7"/>
      <c r="U175" s="7"/>
      <c r="V175" s="7"/>
      <c r="AU175" s="7"/>
    </row>
    <row r="176" spans="1:47" x14ac:dyDescent="0.2">
      <c r="A176" s="7"/>
      <c r="B176" s="7"/>
      <c r="C176" s="7"/>
      <c r="D176" s="7"/>
      <c r="E176" s="7"/>
      <c r="F176" s="7"/>
      <c r="G176" s="7"/>
      <c r="H176" s="7"/>
      <c r="I176" s="7"/>
      <c r="J176" s="7"/>
      <c r="K176" s="7"/>
      <c r="L176" s="7"/>
      <c r="M176" s="7"/>
      <c r="N176" s="7"/>
      <c r="O176" s="7"/>
      <c r="P176" s="7"/>
      <c r="Q176" s="7"/>
      <c r="R176" s="7"/>
      <c r="S176" s="7"/>
      <c r="T176" s="7"/>
      <c r="U176" s="7"/>
      <c r="V176" s="7"/>
      <c r="AU176" s="7"/>
    </row>
    <row r="177" spans="1:47" x14ac:dyDescent="0.2">
      <c r="A177" s="7"/>
      <c r="B177" s="7"/>
      <c r="C177" s="7"/>
      <c r="D177" s="7"/>
      <c r="E177" s="7"/>
      <c r="F177" s="7"/>
      <c r="G177" s="7"/>
      <c r="H177" s="7"/>
      <c r="I177" s="7"/>
      <c r="J177" s="7"/>
      <c r="K177" s="7"/>
      <c r="L177" s="7"/>
      <c r="M177" s="7"/>
      <c r="N177" s="7"/>
      <c r="O177" s="7"/>
      <c r="P177" s="7"/>
      <c r="Q177" s="7"/>
      <c r="R177" s="7"/>
      <c r="S177" s="7"/>
      <c r="T177" s="7"/>
      <c r="U177" s="7"/>
      <c r="V177" s="7"/>
      <c r="AU177" s="7"/>
    </row>
    <row r="178" spans="1:47" x14ac:dyDescent="0.2">
      <c r="A178" s="7"/>
      <c r="B178" s="7"/>
      <c r="C178" s="7"/>
      <c r="D178" s="7"/>
      <c r="E178" s="7"/>
      <c r="F178" s="7"/>
      <c r="G178" s="7"/>
      <c r="H178" s="7"/>
      <c r="I178" s="7"/>
      <c r="J178" s="7"/>
      <c r="K178" s="7"/>
      <c r="L178" s="7"/>
      <c r="M178" s="7"/>
      <c r="N178" s="7"/>
      <c r="O178" s="7"/>
      <c r="P178" s="7"/>
      <c r="Q178" s="7"/>
      <c r="R178" s="7"/>
      <c r="S178" s="7"/>
      <c r="T178" s="7"/>
      <c r="U178" s="7"/>
      <c r="V178" s="7"/>
      <c r="AU178" s="7"/>
    </row>
    <row r="179" spans="1:47" x14ac:dyDescent="0.2">
      <c r="A179" s="7"/>
      <c r="B179" s="7"/>
      <c r="C179" s="7"/>
      <c r="D179" s="7"/>
      <c r="E179" s="7"/>
      <c r="F179" s="7"/>
      <c r="G179" s="7"/>
      <c r="H179" s="7"/>
      <c r="I179" s="7"/>
      <c r="J179" s="7"/>
      <c r="K179" s="7"/>
      <c r="L179" s="7"/>
      <c r="M179" s="7"/>
      <c r="N179" s="7"/>
      <c r="O179" s="7"/>
      <c r="P179" s="7"/>
      <c r="Q179" s="7"/>
      <c r="R179" s="7"/>
      <c r="S179" s="7"/>
      <c r="T179" s="7"/>
      <c r="U179" s="7"/>
      <c r="V179" s="7"/>
      <c r="AU179" s="7"/>
    </row>
    <row r="180" spans="1:47" x14ac:dyDescent="0.2">
      <c r="A180" s="7"/>
      <c r="B180" s="7"/>
      <c r="C180" s="7"/>
      <c r="D180" s="7"/>
      <c r="E180" s="7"/>
      <c r="F180" s="7"/>
      <c r="G180" s="7"/>
      <c r="H180" s="7"/>
      <c r="I180" s="7"/>
      <c r="J180" s="7"/>
      <c r="K180" s="7"/>
      <c r="L180" s="7"/>
      <c r="M180" s="7"/>
      <c r="N180" s="7"/>
      <c r="O180" s="7"/>
      <c r="P180" s="7"/>
      <c r="Q180" s="7"/>
      <c r="R180" s="7"/>
      <c r="S180" s="7"/>
      <c r="T180" s="7"/>
      <c r="U180" s="7"/>
      <c r="V180" s="7"/>
      <c r="AU180" s="7"/>
    </row>
    <row r="181" spans="1:47" x14ac:dyDescent="0.2">
      <c r="A181" s="7"/>
      <c r="B181" s="7"/>
      <c r="C181" s="7"/>
      <c r="D181" s="7"/>
      <c r="E181" s="7"/>
      <c r="F181" s="7"/>
      <c r="G181" s="7"/>
      <c r="H181" s="7"/>
      <c r="I181" s="7"/>
      <c r="J181" s="7"/>
      <c r="K181" s="7"/>
      <c r="L181" s="7"/>
      <c r="M181" s="7"/>
      <c r="N181" s="7"/>
      <c r="O181" s="7"/>
      <c r="P181" s="7"/>
      <c r="Q181" s="7"/>
      <c r="R181" s="7"/>
      <c r="S181" s="7"/>
      <c r="T181" s="7"/>
      <c r="U181" s="7"/>
      <c r="V181" s="7"/>
      <c r="AU181" s="7"/>
    </row>
    <row r="182" spans="1:47" x14ac:dyDescent="0.2">
      <c r="A182" s="7"/>
      <c r="B182" s="7"/>
      <c r="C182" s="7"/>
      <c r="D182" s="7"/>
      <c r="E182" s="7"/>
      <c r="F182" s="7"/>
      <c r="G182" s="7"/>
      <c r="H182" s="7"/>
      <c r="I182" s="7"/>
      <c r="J182" s="7"/>
      <c r="K182" s="7"/>
      <c r="L182" s="7"/>
      <c r="M182" s="7"/>
      <c r="N182" s="7"/>
      <c r="O182" s="7"/>
      <c r="P182" s="7"/>
      <c r="Q182" s="7"/>
      <c r="R182" s="7"/>
      <c r="S182" s="7"/>
      <c r="T182" s="7"/>
      <c r="U182" s="7"/>
      <c r="V182" s="7"/>
      <c r="AU182" s="7"/>
    </row>
    <row r="183" spans="1:47" x14ac:dyDescent="0.2">
      <c r="A183" s="7"/>
      <c r="B183" s="7"/>
      <c r="C183" s="7"/>
      <c r="D183" s="7"/>
      <c r="E183" s="7"/>
      <c r="F183" s="7"/>
      <c r="G183" s="7"/>
      <c r="H183" s="7"/>
      <c r="I183" s="7"/>
      <c r="J183" s="7"/>
      <c r="K183" s="7"/>
      <c r="L183" s="7"/>
      <c r="M183" s="7"/>
      <c r="N183" s="7"/>
      <c r="O183" s="7"/>
      <c r="P183" s="7"/>
      <c r="Q183" s="7"/>
      <c r="R183" s="7"/>
      <c r="S183" s="7"/>
      <c r="T183" s="7"/>
      <c r="U183" s="7"/>
      <c r="V183" s="7"/>
      <c r="AU183" s="7"/>
    </row>
    <row r="184" spans="1:47" x14ac:dyDescent="0.2">
      <c r="A184" s="7"/>
      <c r="B184" s="7"/>
      <c r="C184" s="7"/>
      <c r="D184" s="7"/>
      <c r="E184" s="7"/>
      <c r="F184" s="7"/>
      <c r="G184" s="7"/>
      <c r="H184" s="7"/>
      <c r="I184" s="7"/>
      <c r="J184" s="7"/>
      <c r="K184" s="7"/>
      <c r="L184" s="7"/>
      <c r="M184" s="7"/>
      <c r="N184" s="7"/>
      <c r="O184" s="7"/>
      <c r="P184" s="7"/>
      <c r="Q184" s="7"/>
      <c r="R184" s="7"/>
      <c r="S184" s="7"/>
      <c r="T184" s="7"/>
      <c r="U184" s="7"/>
      <c r="V184" s="7"/>
      <c r="AU184" s="7"/>
    </row>
    <row r="185" spans="1:47" x14ac:dyDescent="0.2">
      <c r="A185" s="7"/>
      <c r="B185" s="7"/>
      <c r="C185" s="7"/>
      <c r="D185" s="7"/>
      <c r="E185" s="7"/>
      <c r="F185" s="7"/>
      <c r="G185" s="7"/>
      <c r="H185" s="7"/>
      <c r="I185" s="7"/>
      <c r="J185" s="7"/>
      <c r="K185" s="7"/>
      <c r="L185" s="7"/>
      <c r="M185" s="7"/>
      <c r="N185" s="7"/>
      <c r="O185" s="7"/>
      <c r="P185" s="7"/>
      <c r="Q185" s="7"/>
      <c r="R185" s="7"/>
      <c r="S185" s="7"/>
      <c r="T185" s="7"/>
      <c r="U185" s="7"/>
      <c r="V185" s="7"/>
      <c r="AU185" s="7"/>
    </row>
    <row r="186" spans="1:47" x14ac:dyDescent="0.2">
      <c r="A186" s="7"/>
      <c r="B186" s="7"/>
      <c r="C186" s="7"/>
      <c r="D186" s="7"/>
      <c r="E186" s="7"/>
      <c r="F186" s="7"/>
      <c r="G186" s="7"/>
      <c r="H186" s="7"/>
      <c r="I186" s="7"/>
      <c r="J186" s="7"/>
      <c r="K186" s="7"/>
      <c r="L186" s="7"/>
      <c r="M186" s="7"/>
      <c r="N186" s="7"/>
      <c r="O186" s="7"/>
      <c r="P186" s="7"/>
      <c r="Q186" s="7"/>
      <c r="R186" s="7"/>
      <c r="S186" s="7"/>
      <c r="T186" s="7"/>
      <c r="U186" s="7"/>
      <c r="V186" s="7"/>
      <c r="AU186" s="7"/>
    </row>
    <row r="187" spans="1:47" x14ac:dyDescent="0.2">
      <c r="A187" s="7"/>
      <c r="B187" s="7"/>
      <c r="C187" s="7"/>
      <c r="D187" s="7"/>
      <c r="E187" s="7"/>
      <c r="F187" s="7"/>
      <c r="G187" s="7"/>
      <c r="H187" s="7"/>
      <c r="I187" s="7"/>
      <c r="J187" s="7"/>
      <c r="K187" s="7"/>
      <c r="L187" s="7"/>
      <c r="M187" s="7"/>
      <c r="N187" s="7"/>
      <c r="O187" s="7"/>
      <c r="P187" s="7"/>
      <c r="Q187" s="7"/>
      <c r="R187" s="7"/>
      <c r="S187" s="7"/>
      <c r="T187" s="7"/>
      <c r="U187" s="7"/>
      <c r="V187" s="7"/>
      <c r="AU187" s="7"/>
    </row>
    <row r="188" spans="1:47" x14ac:dyDescent="0.2">
      <c r="A188" s="7"/>
      <c r="B188" s="7"/>
      <c r="C188" s="7"/>
      <c r="D188" s="7"/>
      <c r="E188" s="7"/>
      <c r="F188" s="7"/>
      <c r="G188" s="7"/>
      <c r="H188" s="7"/>
      <c r="I188" s="7"/>
      <c r="J188" s="7"/>
      <c r="K188" s="7"/>
      <c r="L188" s="7"/>
      <c r="M188" s="7"/>
      <c r="N188" s="7"/>
      <c r="O188" s="7"/>
      <c r="P188" s="7"/>
      <c r="Q188" s="7"/>
      <c r="R188" s="7"/>
      <c r="S188" s="7"/>
      <c r="T188" s="7"/>
      <c r="U188" s="7"/>
      <c r="V188" s="7"/>
      <c r="AU188" s="7"/>
    </row>
    <row r="189" spans="1:47" x14ac:dyDescent="0.2">
      <c r="A189" s="7"/>
      <c r="B189" s="7"/>
      <c r="C189" s="7"/>
      <c r="D189" s="7"/>
      <c r="E189" s="7"/>
      <c r="F189" s="7"/>
      <c r="G189" s="7"/>
      <c r="H189" s="7"/>
      <c r="I189" s="7"/>
      <c r="J189" s="7"/>
      <c r="K189" s="7"/>
      <c r="L189" s="7"/>
      <c r="M189" s="7"/>
      <c r="N189" s="7"/>
      <c r="O189" s="7"/>
      <c r="P189" s="7"/>
      <c r="Q189" s="7"/>
      <c r="R189" s="7"/>
      <c r="S189" s="7"/>
      <c r="T189" s="7"/>
      <c r="U189" s="7"/>
      <c r="V189" s="7"/>
      <c r="AU189" s="7"/>
    </row>
    <row r="190" spans="1:47" x14ac:dyDescent="0.2">
      <c r="A190" s="7"/>
      <c r="B190" s="7"/>
      <c r="C190" s="7"/>
      <c r="D190" s="7"/>
      <c r="E190" s="7"/>
      <c r="F190" s="7"/>
      <c r="G190" s="7"/>
      <c r="H190" s="7"/>
      <c r="I190" s="7"/>
      <c r="J190" s="7"/>
      <c r="K190" s="7"/>
      <c r="L190" s="7"/>
      <c r="M190" s="7"/>
      <c r="N190" s="7"/>
      <c r="O190" s="7"/>
      <c r="P190" s="7"/>
      <c r="Q190" s="7"/>
      <c r="R190" s="7"/>
      <c r="S190" s="7"/>
      <c r="T190" s="7"/>
      <c r="U190" s="7"/>
      <c r="V190" s="7"/>
      <c r="AU190" s="7"/>
    </row>
    <row r="191" spans="1:47" x14ac:dyDescent="0.2">
      <c r="A191" s="7"/>
      <c r="B191" s="7"/>
      <c r="C191" s="7"/>
      <c r="D191" s="7"/>
      <c r="E191" s="7"/>
      <c r="F191" s="7"/>
      <c r="G191" s="7"/>
      <c r="H191" s="7"/>
      <c r="I191" s="7"/>
      <c r="J191" s="7"/>
      <c r="K191" s="7"/>
      <c r="L191" s="7"/>
      <c r="M191" s="7"/>
      <c r="N191" s="7"/>
      <c r="O191" s="7"/>
      <c r="P191" s="7"/>
      <c r="Q191" s="7"/>
      <c r="R191" s="7"/>
      <c r="S191" s="7"/>
      <c r="T191" s="7"/>
      <c r="U191" s="7"/>
      <c r="V191" s="7"/>
      <c r="AU191" s="7"/>
    </row>
    <row r="192" spans="1:47" x14ac:dyDescent="0.2">
      <c r="A192" s="7"/>
      <c r="B192" s="7"/>
      <c r="C192" s="7"/>
      <c r="D192" s="7"/>
      <c r="E192" s="7"/>
      <c r="F192" s="7"/>
      <c r="G192" s="7"/>
      <c r="H192" s="7"/>
      <c r="I192" s="7"/>
      <c r="J192" s="7"/>
      <c r="K192" s="7"/>
      <c r="L192" s="7"/>
      <c r="M192" s="7"/>
      <c r="N192" s="7"/>
      <c r="O192" s="7"/>
      <c r="P192" s="7"/>
      <c r="Q192" s="7"/>
      <c r="R192" s="7"/>
      <c r="S192" s="7"/>
      <c r="T192" s="7"/>
      <c r="U192" s="7"/>
      <c r="V192" s="7"/>
      <c r="AU192" s="7"/>
    </row>
    <row r="193" spans="1:47" x14ac:dyDescent="0.2">
      <c r="A193" s="7"/>
      <c r="B193" s="7"/>
      <c r="C193" s="7"/>
      <c r="D193" s="7"/>
      <c r="E193" s="7"/>
      <c r="F193" s="7"/>
      <c r="G193" s="7"/>
      <c r="H193" s="7"/>
      <c r="I193" s="7"/>
      <c r="J193" s="7"/>
      <c r="K193" s="7"/>
      <c r="L193" s="7"/>
      <c r="M193" s="7"/>
      <c r="N193" s="7"/>
      <c r="O193" s="7"/>
      <c r="P193" s="7"/>
      <c r="Q193" s="7"/>
      <c r="R193" s="7"/>
      <c r="S193" s="7"/>
      <c r="T193" s="7"/>
      <c r="U193" s="7"/>
      <c r="V193" s="7"/>
      <c r="AU193" s="7"/>
    </row>
    <row r="194" spans="1:47" x14ac:dyDescent="0.2">
      <c r="A194" s="7"/>
      <c r="B194" s="7"/>
      <c r="C194" s="7"/>
      <c r="D194" s="7"/>
      <c r="E194" s="7"/>
      <c r="F194" s="7"/>
      <c r="G194" s="7"/>
      <c r="H194" s="7"/>
      <c r="I194" s="7"/>
      <c r="J194" s="7"/>
      <c r="K194" s="7"/>
      <c r="L194" s="7"/>
      <c r="M194" s="7"/>
      <c r="N194" s="7"/>
      <c r="O194" s="7"/>
      <c r="P194" s="7"/>
      <c r="Q194" s="7"/>
      <c r="R194" s="7"/>
      <c r="S194" s="7"/>
      <c r="T194" s="7"/>
      <c r="U194" s="7"/>
      <c r="V194" s="7"/>
      <c r="AU194" s="7"/>
    </row>
    <row r="195" spans="1:47" x14ac:dyDescent="0.2">
      <c r="A195" s="7"/>
      <c r="B195" s="7"/>
      <c r="C195" s="7"/>
      <c r="D195" s="7"/>
      <c r="E195" s="7"/>
      <c r="F195" s="7"/>
      <c r="G195" s="7"/>
      <c r="H195" s="7"/>
      <c r="I195" s="7"/>
      <c r="J195" s="7"/>
      <c r="K195" s="7"/>
      <c r="L195" s="7"/>
      <c r="M195" s="7"/>
      <c r="N195" s="7"/>
      <c r="O195" s="7"/>
      <c r="P195" s="7"/>
      <c r="Q195" s="7"/>
      <c r="R195" s="7"/>
      <c r="S195" s="7"/>
      <c r="T195" s="7"/>
      <c r="U195" s="7"/>
      <c r="V195" s="7"/>
      <c r="AU195" s="7"/>
    </row>
    <row r="196" spans="1:47" x14ac:dyDescent="0.2">
      <c r="A196" s="7"/>
      <c r="B196" s="7"/>
      <c r="C196" s="7"/>
      <c r="D196" s="7"/>
      <c r="E196" s="7"/>
      <c r="F196" s="7"/>
      <c r="G196" s="7"/>
      <c r="H196" s="7"/>
      <c r="I196" s="7"/>
      <c r="J196" s="7"/>
      <c r="K196" s="7"/>
      <c r="L196" s="7"/>
      <c r="M196" s="7"/>
      <c r="N196" s="7"/>
      <c r="O196" s="7"/>
      <c r="P196" s="7"/>
      <c r="Q196" s="7"/>
      <c r="R196" s="7"/>
      <c r="S196" s="7"/>
      <c r="T196" s="7"/>
      <c r="U196" s="7"/>
      <c r="V196" s="7"/>
      <c r="AU196" s="7"/>
    </row>
    <row r="197" spans="1:47" x14ac:dyDescent="0.2">
      <c r="A197" s="7"/>
      <c r="B197" s="7"/>
      <c r="C197" s="7"/>
      <c r="D197" s="7"/>
      <c r="E197" s="7"/>
      <c r="F197" s="7"/>
      <c r="G197" s="7"/>
      <c r="H197" s="7"/>
      <c r="I197" s="7"/>
      <c r="J197" s="7"/>
      <c r="K197" s="7"/>
      <c r="L197" s="7"/>
      <c r="M197" s="7"/>
      <c r="N197" s="7"/>
      <c r="O197" s="7"/>
      <c r="P197" s="7"/>
      <c r="Q197" s="7"/>
      <c r="R197" s="7"/>
      <c r="S197" s="7"/>
      <c r="T197" s="7"/>
      <c r="U197" s="7"/>
      <c r="V197" s="7"/>
      <c r="AU197" s="7"/>
    </row>
    <row r="198" spans="1:47" x14ac:dyDescent="0.2">
      <c r="A198" s="7"/>
      <c r="B198" s="7"/>
      <c r="C198" s="7"/>
      <c r="D198" s="7"/>
      <c r="E198" s="7"/>
      <c r="F198" s="7"/>
      <c r="G198" s="7"/>
      <c r="H198" s="7"/>
      <c r="I198" s="7"/>
      <c r="J198" s="7"/>
      <c r="K198" s="7"/>
      <c r="L198" s="7"/>
      <c r="M198" s="7"/>
      <c r="N198" s="7"/>
      <c r="O198" s="7"/>
      <c r="P198" s="7"/>
      <c r="Q198" s="7"/>
      <c r="R198" s="7"/>
      <c r="S198" s="7"/>
      <c r="T198" s="7"/>
      <c r="U198" s="7"/>
      <c r="V198" s="7"/>
      <c r="AU198" s="7"/>
    </row>
    <row r="199" spans="1:47" x14ac:dyDescent="0.2">
      <c r="A199" s="7"/>
      <c r="B199" s="7"/>
      <c r="C199" s="7"/>
      <c r="D199" s="7"/>
      <c r="E199" s="7"/>
      <c r="F199" s="7"/>
      <c r="G199" s="7"/>
      <c r="H199" s="7"/>
      <c r="I199" s="7"/>
      <c r="J199" s="7"/>
      <c r="K199" s="7"/>
      <c r="L199" s="7"/>
      <c r="M199" s="7"/>
      <c r="N199" s="7"/>
      <c r="O199" s="7"/>
      <c r="P199" s="7"/>
      <c r="Q199" s="7"/>
      <c r="R199" s="7"/>
      <c r="S199" s="7"/>
      <c r="T199" s="7"/>
      <c r="U199" s="7"/>
      <c r="V199" s="7"/>
      <c r="AU199" s="7"/>
    </row>
    <row r="200" spans="1:47" x14ac:dyDescent="0.2">
      <c r="A200" s="7"/>
      <c r="B200" s="7"/>
      <c r="C200" s="7"/>
      <c r="D200" s="7"/>
      <c r="E200" s="7"/>
      <c r="F200" s="7"/>
      <c r="G200" s="7"/>
      <c r="H200" s="7"/>
      <c r="I200" s="7"/>
      <c r="J200" s="7"/>
      <c r="K200" s="7"/>
      <c r="L200" s="7"/>
      <c r="M200" s="7"/>
      <c r="N200" s="7"/>
      <c r="O200" s="7"/>
      <c r="P200" s="7"/>
      <c r="Q200" s="7"/>
      <c r="R200" s="7"/>
      <c r="S200" s="7"/>
      <c r="T200" s="7"/>
      <c r="U200" s="7"/>
      <c r="V200" s="7"/>
      <c r="AU200" s="7"/>
    </row>
    <row r="201" spans="1:47" x14ac:dyDescent="0.2">
      <c r="A201" s="7"/>
      <c r="B201" s="7"/>
      <c r="C201" s="7"/>
      <c r="D201" s="7"/>
      <c r="E201" s="7"/>
      <c r="F201" s="7"/>
      <c r="G201" s="7"/>
      <c r="H201" s="7"/>
      <c r="I201" s="7"/>
      <c r="J201" s="7"/>
      <c r="K201" s="7"/>
      <c r="L201" s="7"/>
      <c r="M201" s="7"/>
      <c r="N201" s="7"/>
      <c r="O201" s="7"/>
      <c r="P201" s="7"/>
      <c r="Q201" s="7"/>
      <c r="R201" s="7"/>
      <c r="S201" s="7"/>
      <c r="T201" s="7"/>
      <c r="U201" s="7"/>
      <c r="V201" s="7"/>
      <c r="AU201" s="7"/>
    </row>
    <row r="202" spans="1:47" x14ac:dyDescent="0.2">
      <c r="A202" s="7"/>
      <c r="B202" s="7"/>
      <c r="C202" s="7"/>
      <c r="D202" s="7"/>
      <c r="E202" s="7"/>
      <c r="F202" s="7"/>
      <c r="G202" s="7"/>
      <c r="H202" s="7"/>
      <c r="I202" s="7"/>
      <c r="J202" s="7"/>
      <c r="K202" s="7"/>
      <c r="L202" s="7"/>
      <c r="M202" s="7"/>
      <c r="N202" s="7"/>
      <c r="O202" s="7"/>
      <c r="P202" s="7"/>
      <c r="Q202" s="7"/>
      <c r="R202" s="7"/>
      <c r="S202" s="7"/>
      <c r="T202" s="7"/>
      <c r="U202" s="7"/>
      <c r="V202" s="7"/>
      <c r="AU202" s="7"/>
    </row>
    <row r="203" spans="1:47" x14ac:dyDescent="0.2">
      <c r="A203" s="7"/>
      <c r="B203" s="7"/>
      <c r="C203" s="7"/>
      <c r="D203" s="7"/>
      <c r="E203" s="7"/>
      <c r="F203" s="7"/>
      <c r="G203" s="7"/>
      <c r="H203" s="7"/>
      <c r="I203" s="7"/>
      <c r="J203" s="7"/>
      <c r="K203" s="7"/>
      <c r="L203" s="7"/>
      <c r="M203" s="7"/>
      <c r="N203" s="7"/>
      <c r="O203" s="7"/>
      <c r="P203" s="7"/>
      <c r="Q203" s="7"/>
      <c r="R203" s="7"/>
      <c r="S203" s="7"/>
      <c r="T203" s="7"/>
      <c r="U203" s="7"/>
      <c r="V203" s="7"/>
      <c r="AU203" s="7"/>
    </row>
    <row r="204" spans="1:47" x14ac:dyDescent="0.2">
      <c r="A204" s="7"/>
      <c r="B204" s="7"/>
      <c r="C204" s="7"/>
      <c r="D204" s="7"/>
      <c r="E204" s="7"/>
      <c r="F204" s="7"/>
      <c r="G204" s="7"/>
      <c r="H204" s="7"/>
      <c r="I204" s="7"/>
      <c r="J204" s="7"/>
      <c r="K204" s="7"/>
      <c r="L204" s="7"/>
      <c r="M204" s="7"/>
      <c r="N204" s="7"/>
      <c r="O204" s="7"/>
      <c r="P204" s="7"/>
      <c r="Q204" s="7"/>
      <c r="R204" s="7"/>
      <c r="S204" s="7"/>
      <c r="T204" s="7"/>
      <c r="U204" s="7"/>
      <c r="V204" s="7"/>
      <c r="AU204" s="7"/>
    </row>
    <row r="205" spans="1:47" x14ac:dyDescent="0.2">
      <c r="A205" s="7"/>
      <c r="B205" s="7"/>
      <c r="C205" s="7"/>
      <c r="D205" s="7"/>
      <c r="E205" s="7"/>
      <c r="F205" s="7"/>
      <c r="G205" s="7"/>
      <c r="H205" s="7"/>
      <c r="I205" s="7"/>
      <c r="J205" s="7"/>
      <c r="K205" s="7"/>
      <c r="L205" s="7"/>
      <c r="M205" s="7"/>
      <c r="N205" s="7"/>
      <c r="O205" s="7"/>
      <c r="P205" s="7"/>
      <c r="Q205" s="7"/>
      <c r="R205" s="7"/>
      <c r="S205" s="7"/>
      <c r="T205" s="7"/>
      <c r="U205" s="7"/>
      <c r="V205" s="7"/>
      <c r="AU205" s="7"/>
    </row>
    <row r="206" spans="1:47" x14ac:dyDescent="0.2">
      <c r="A206" s="7"/>
      <c r="B206" s="7"/>
      <c r="C206" s="7"/>
      <c r="D206" s="7"/>
      <c r="E206" s="7"/>
      <c r="F206" s="7"/>
      <c r="G206" s="7"/>
      <c r="H206" s="7"/>
      <c r="I206" s="7"/>
      <c r="J206" s="7"/>
      <c r="K206" s="7"/>
      <c r="L206" s="7"/>
      <c r="M206" s="7"/>
      <c r="N206" s="7"/>
      <c r="O206" s="7"/>
      <c r="P206" s="7"/>
      <c r="Q206" s="7"/>
      <c r="R206" s="7"/>
      <c r="S206" s="7"/>
      <c r="T206" s="7"/>
      <c r="U206" s="7"/>
      <c r="V206" s="7"/>
      <c r="AU206" s="7"/>
    </row>
    <row r="207" spans="1:47" x14ac:dyDescent="0.2">
      <c r="A207" s="7"/>
      <c r="B207" s="7"/>
      <c r="C207" s="7"/>
      <c r="D207" s="7"/>
      <c r="E207" s="7"/>
      <c r="F207" s="7"/>
      <c r="G207" s="7"/>
      <c r="H207" s="7"/>
      <c r="I207" s="7"/>
      <c r="J207" s="7"/>
      <c r="K207" s="7"/>
      <c r="L207" s="7"/>
      <c r="M207" s="7"/>
      <c r="N207" s="7"/>
      <c r="O207" s="7"/>
      <c r="P207" s="7"/>
      <c r="Q207" s="7"/>
      <c r="R207" s="7"/>
      <c r="S207" s="7"/>
      <c r="T207" s="7"/>
      <c r="U207" s="7"/>
      <c r="V207" s="7"/>
      <c r="AU207" s="7"/>
    </row>
    <row r="208" spans="1:47" x14ac:dyDescent="0.2">
      <c r="A208" s="7"/>
      <c r="B208" s="7"/>
      <c r="C208" s="7"/>
      <c r="D208" s="7"/>
      <c r="E208" s="7"/>
      <c r="F208" s="7"/>
      <c r="G208" s="7"/>
      <c r="H208" s="7"/>
      <c r="I208" s="7"/>
      <c r="J208" s="7"/>
      <c r="K208" s="7"/>
      <c r="L208" s="7"/>
      <c r="M208" s="7"/>
      <c r="N208" s="7"/>
      <c r="O208" s="7"/>
      <c r="P208" s="7"/>
      <c r="Q208" s="7"/>
      <c r="R208" s="7"/>
      <c r="S208" s="7"/>
      <c r="T208" s="7"/>
      <c r="U208" s="7"/>
      <c r="V208" s="7"/>
      <c r="AU208" s="7"/>
    </row>
    <row r="209" spans="1:47" x14ac:dyDescent="0.2">
      <c r="A209" s="7"/>
      <c r="B209" s="7"/>
      <c r="C209" s="7"/>
      <c r="D209" s="7"/>
      <c r="E209" s="7"/>
      <c r="F209" s="7"/>
      <c r="G209" s="7"/>
      <c r="H209" s="7"/>
      <c r="I209" s="7"/>
      <c r="J209" s="7"/>
      <c r="K209" s="7"/>
      <c r="L209" s="7"/>
      <c r="M209" s="7"/>
      <c r="N209" s="7"/>
      <c r="O209" s="7"/>
      <c r="P209" s="7"/>
      <c r="Q209" s="7"/>
      <c r="R209" s="7"/>
      <c r="S209" s="7"/>
      <c r="T209" s="7"/>
      <c r="U209" s="7"/>
      <c r="V209" s="7"/>
      <c r="AU209" s="7"/>
    </row>
    <row r="210" spans="1:47" x14ac:dyDescent="0.2">
      <c r="A210" s="7"/>
      <c r="B210" s="7"/>
      <c r="C210" s="7"/>
      <c r="D210" s="7"/>
      <c r="E210" s="7"/>
      <c r="F210" s="7"/>
      <c r="G210" s="7"/>
      <c r="H210" s="7"/>
      <c r="I210" s="7"/>
      <c r="J210" s="7"/>
      <c r="K210" s="7"/>
      <c r="L210" s="7"/>
      <c r="M210" s="7"/>
      <c r="N210" s="7"/>
      <c r="O210" s="7"/>
      <c r="P210" s="7"/>
      <c r="Q210" s="7"/>
      <c r="R210" s="7"/>
      <c r="S210" s="7"/>
      <c r="T210" s="7"/>
      <c r="U210" s="7"/>
      <c r="V210" s="7"/>
      <c r="AU210" s="7"/>
    </row>
    <row r="211" spans="1:47" x14ac:dyDescent="0.2">
      <c r="A211" s="7"/>
      <c r="B211" s="7"/>
      <c r="C211" s="7"/>
      <c r="D211" s="7"/>
      <c r="E211" s="7"/>
      <c r="F211" s="7"/>
      <c r="G211" s="7"/>
      <c r="H211" s="7"/>
      <c r="I211" s="7"/>
      <c r="J211" s="7"/>
      <c r="K211" s="7"/>
      <c r="L211" s="7"/>
      <c r="M211" s="7"/>
      <c r="N211" s="7"/>
      <c r="O211" s="7"/>
      <c r="P211" s="7"/>
      <c r="Q211" s="7"/>
      <c r="R211" s="7"/>
      <c r="S211" s="7"/>
      <c r="T211" s="7"/>
      <c r="U211" s="7"/>
      <c r="V211" s="7"/>
      <c r="AU211" s="7"/>
    </row>
    <row r="212" spans="1:47" x14ac:dyDescent="0.2">
      <c r="A212" s="7"/>
      <c r="B212" s="7"/>
      <c r="C212" s="7"/>
      <c r="D212" s="7"/>
      <c r="E212" s="7"/>
      <c r="F212" s="7"/>
      <c r="G212" s="7"/>
      <c r="H212" s="7"/>
      <c r="I212" s="7"/>
      <c r="J212" s="7"/>
      <c r="K212" s="7"/>
      <c r="L212" s="7"/>
      <c r="M212" s="7"/>
      <c r="N212" s="7"/>
      <c r="O212" s="7"/>
      <c r="P212" s="7"/>
      <c r="Q212" s="7"/>
      <c r="R212" s="7"/>
      <c r="S212" s="7"/>
      <c r="T212" s="7"/>
      <c r="U212" s="7"/>
      <c r="V212" s="7"/>
      <c r="AU212" s="7"/>
    </row>
    <row r="213" spans="1:47" x14ac:dyDescent="0.2">
      <c r="A213" s="7"/>
      <c r="B213" s="7"/>
      <c r="C213" s="7"/>
      <c r="D213" s="7"/>
      <c r="E213" s="7"/>
      <c r="F213" s="7"/>
      <c r="G213" s="7"/>
      <c r="H213" s="7"/>
      <c r="I213" s="7"/>
      <c r="J213" s="7"/>
      <c r="K213" s="7"/>
      <c r="L213" s="7"/>
      <c r="M213" s="7"/>
      <c r="N213" s="7"/>
      <c r="O213" s="7"/>
      <c r="P213" s="7"/>
      <c r="Q213" s="7"/>
      <c r="R213" s="7"/>
      <c r="S213" s="7"/>
      <c r="T213" s="7"/>
      <c r="U213" s="7"/>
      <c r="V213" s="7"/>
      <c r="AU213" s="7"/>
    </row>
    <row r="214" spans="1:47" x14ac:dyDescent="0.2">
      <c r="A214" s="7"/>
      <c r="B214" s="7"/>
      <c r="C214" s="7"/>
      <c r="D214" s="7"/>
      <c r="E214" s="7"/>
      <c r="F214" s="7"/>
      <c r="G214" s="7"/>
      <c r="H214" s="7"/>
      <c r="I214" s="7"/>
      <c r="J214" s="7"/>
      <c r="K214" s="7"/>
      <c r="L214" s="7"/>
      <c r="M214" s="7"/>
      <c r="N214" s="7"/>
      <c r="O214" s="7"/>
      <c r="P214" s="7"/>
      <c r="Q214" s="7"/>
      <c r="R214" s="7"/>
      <c r="S214" s="7"/>
      <c r="T214" s="7"/>
      <c r="U214" s="7"/>
      <c r="V214" s="7"/>
      <c r="AU214" s="7"/>
    </row>
    <row r="215" spans="1:47" x14ac:dyDescent="0.2">
      <c r="A215" s="7"/>
      <c r="B215" s="7"/>
      <c r="C215" s="7"/>
      <c r="D215" s="7"/>
      <c r="E215" s="7"/>
      <c r="F215" s="7"/>
      <c r="G215" s="7"/>
      <c r="H215" s="7"/>
      <c r="I215" s="7"/>
      <c r="J215" s="7"/>
      <c r="K215" s="7"/>
      <c r="L215" s="7"/>
      <c r="M215" s="7"/>
      <c r="N215" s="7"/>
      <c r="O215" s="7"/>
      <c r="P215" s="7"/>
      <c r="Q215" s="7"/>
      <c r="R215" s="7"/>
      <c r="S215" s="7"/>
      <c r="T215" s="7"/>
      <c r="U215" s="7"/>
      <c r="V215" s="7"/>
      <c r="AU215" s="7"/>
    </row>
    <row r="216" spans="1:47" x14ac:dyDescent="0.2">
      <c r="A216" s="7"/>
      <c r="B216" s="7"/>
      <c r="C216" s="7"/>
      <c r="D216" s="7"/>
      <c r="E216" s="7"/>
      <c r="F216" s="7"/>
      <c r="G216" s="7"/>
      <c r="H216" s="7"/>
      <c r="I216" s="7"/>
      <c r="J216" s="7"/>
      <c r="K216" s="7"/>
      <c r="L216" s="7"/>
      <c r="M216" s="7"/>
      <c r="N216" s="7"/>
      <c r="O216" s="7"/>
      <c r="P216" s="7"/>
      <c r="Q216" s="7"/>
      <c r="R216" s="7"/>
      <c r="S216" s="7"/>
      <c r="T216" s="7"/>
      <c r="U216" s="7"/>
      <c r="V216" s="7"/>
      <c r="AU216" s="7"/>
    </row>
    <row r="217" spans="1:47" x14ac:dyDescent="0.2">
      <c r="A217" s="7"/>
      <c r="B217" s="7"/>
      <c r="C217" s="7"/>
      <c r="D217" s="7"/>
      <c r="E217" s="7"/>
      <c r="F217" s="7"/>
      <c r="G217" s="7"/>
      <c r="H217" s="7"/>
      <c r="I217" s="7"/>
      <c r="J217" s="7"/>
      <c r="K217" s="7"/>
      <c r="L217" s="7"/>
      <c r="M217" s="7"/>
      <c r="N217" s="7"/>
      <c r="O217" s="7"/>
      <c r="P217" s="7"/>
      <c r="Q217" s="7"/>
      <c r="R217" s="7"/>
      <c r="S217" s="7"/>
      <c r="T217" s="7"/>
      <c r="U217" s="7"/>
      <c r="V217" s="7"/>
      <c r="AU217" s="7"/>
    </row>
    <row r="218" spans="1:47" x14ac:dyDescent="0.2">
      <c r="A218" s="7"/>
      <c r="B218" s="7"/>
      <c r="C218" s="7"/>
      <c r="D218" s="7"/>
      <c r="E218" s="7"/>
      <c r="F218" s="7"/>
      <c r="G218" s="7"/>
      <c r="H218" s="7"/>
      <c r="I218" s="7"/>
      <c r="J218" s="7"/>
      <c r="K218" s="7"/>
      <c r="L218" s="7"/>
      <c r="M218" s="7"/>
      <c r="N218" s="7"/>
      <c r="O218" s="7"/>
      <c r="P218" s="7"/>
      <c r="Q218" s="7"/>
      <c r="R218" s="7"/>
      <c r="S218" s="7"/>
      <c r="T218" s="7"/>
      <c r="U218" s="7"/>
      <c r="V218" s="7"/>
      <c r="AU218" s="7"/>
    </row>
    <row r="219" spans="1:47" x14ac:dyDescent="0.2">
      <c r="A219" s="7"/>
      <c r="B219" s="7"/>
      <c r="C219" s="7"/>
      <c r="D219" s="7"/>
      <c r="E219" s="7"/>
      <c r="F219" s="7"/>
      <c r="G219" s="7"/>
      <c r="H219" s="7"/>
      <c r="I219" s="7"/>
      <c r="J219" s="7"/>
      <c r="K219" s="7"/>
      <c r="L219" s="7"/>
      <c r="M219" s="7"/>
      <c r="N219" s="7"/>
      <c r="O219" s="7"/>
      <c r="P219" s="7"/>
      <c r="Q219" s="7"/>
      <c r="R219" s="7"/>
      <c r="S219" s="7"/>
      <c r="T219" s="7"/>
      <c r="U219" s="7"/>
      <c r="V219" s="7"/>
      <c r="AU219" s="7"/>
    </row>
    <row r="220" spans="1:47" x14ac:dyDescent="0.2">
      <c r="A220" s="7"/>
      <c r="B220" s="7"/>
      <c r="C220" s="7"/>
      <c r="D220" s="7"/>
      <c r="E220" s="7"/>
      <c r="F220" s="7"/>
      <c r="G220" s="7"/>
      <c r="H220" s="7"/>
      <c r="I220" s="7"/>
      <c r="J220" s="7"/>
      <c r="K220" s="7"/>
      <c r="L220" s="7"/>
      <c r="M220" s="7"/>
      <c r="N220" s="7"/>
      <c r="O220" s="7"/>
      <c r="P220" s="7"/>
      <c r="Q220" s="7"/>
      <c r="R220" s="7"/>
      <c r="S220" s="7"/>
      <c r="T220" s="7"/>
      <c r="U220" s="7"/>
      <c r="V220" s="7"/>
      <c r="AU220" s="7"/>
    </row>
    <row r="221" spans="1:47" x14ac:dyDescent="0.2">
      <c r="A221" s="7"/>
      <c r="B221" s="7"/>
      <c r="C221" s="7"/>
      <c r="D221" s="7"/>
      <c r="E221" s="7"/>
      <c r="F221" s="7"/>
      <c r="G221" s="7"/>
      <c r="H221" s="7"/>
      <c r="I221" s="7"/>
      <c r="J221" s="7"/>
      <c r="K221" s="7"/>
      <c r="L221" s="7"/>
      <c r="M221" s="7"/>
      <c r="N221" s="7"/>
      <c r="O221" s="7"/>
      <c r="P221" s="7"/>
      <c r="Q221" s="7"/>
      <c r="R221" s="7"/>
      <c r="S221" s="7"/>
      <c r="T221" s="7"/>
      <c r="U221" s="7"/>
      <c r="V221" s="7"/>
      <c r="AU221" s="7"/>
    </row>
    <row r="222" spans="1:47" x14ac:dyDescent="0.2">
      <c r="A222" s="7"/>
      <c r="B222" s="7"/>
      <c r="C222" s="7"/>
      <c r="D222" s="7"/>
      <c r="E222" s="7"/>
      <c r="F222" s="7"/>
      <c r="G222" s="7"/>
      <c r="H222" s="7"/>
      <c r="I222" s="7"/>
      <c r="J222" s="7"/>
      <c r="K222" s="7"/>
      <c r="L222" s="7"/>
      <c r="M222" s="7"/>
      <c r="N222" s="7"/>
      <c r="O222" s="7"/>
      <c r="P222" s="7"/>
      <c r="Q222" s="7"/>
      <c r="R222" s="7"/>
      <c r="S222" s="7"/>
      <c r="T222" s="7"/>
      <c r="U222" s="7"/>
      <c r="V222" s="7"/>
      <c r="AU222" s="7"/>
    </row>
    <row r="223" spans="1:47" x14ac:dyDescent="0.2">
      <c r="A223" s="7"/>
      <c r="B223" s="7"/>
      <c r="C223" s="7"/>
      <c r="D223" s="7"/>
      <c r="E223" s="7"/>
      <c r="F223" s="7"/>
      <c r="G223" s="7"/>
      <c r="H223" s="7"/>
      <c r="I223" s="7"/>
      <c r="J223" s="7"/>
      <c r="K223" s="7"/>
      <c r="L223" s="7"/>
      <c r="M223" s="7"/>
      <c r="N223" s="7"/>
      <c r="O223" s="7"/>
      <c r="P223" s="7"/>
      <c r="Q223" s="7"/>
      <c r="R223" s="7"/>
      <c r="S223" s="7"/>
      <c r="T223" s="7"/>
      <c r="U223" s="7"/>
      <c r="V223" s="7"/>
      <c r="AU223" s="7"/>
    </row>
    <row r="224" spans="1:47" x14ac:dyDescent="0.2">
      <c r="A224" s="7"/>
      <c r="B224" s="7"/>
      <c r="C224" s="7"/>
      <c r="D224" s="7"/>
      <c r="E224" s="7"/>
      <c r="F224" s="7"/>
      <c r="G224" s="7"/>
      <c r="H224" s="7"/>
      <c r="I224" s="7"/>
      <c r="J224" s="7"/>
      <c r="K224" s="7"/>
      <c r="L224" s="7"/>
      <c r="M224" s="7"/>
      <c r="N224" s="7"/>
      <c r="O224" s="7"/>
      <c r="P224" s="7"/>
      <c r="Q224" s="7"/>
      <c r="R224" s="7"/>
      <c r="S224" s="7"/>
      <c r="T224" s="7"/>
      <c r="U224" s="7"/>
      <c r="V224" s="7"/>
      <c r="AU224" s="7"/>
    </row>
    <row r="225" spans="1:47" x14ac:dyDescent="0.2">
      <c r="A225" s="7"/>
      <c r="B225" s="7"/>
      <c r="C225" s="7"/>
      <c r="D225" s="7"/>
      <c r="E225" s="7"/>
      <c r="F225" s="7"/>
      <c r="G225" s="7"/>
      <c r="H225" s="7"/>
      <c r="I225" s="7"/>
      <c r="J225" s="7"/>
      <c r="K225" s="7"/>
      <c r="L225" s="7"/>
      <c r="M225" s="7"/>
      <c r="N225" s="7"/>
      <c r="O225" s="7"/>
      <c r="P225" s="7"/>
      <c r="Q225" s="7"/>
      <c r="R225" s="7"/>
      <c r="S225" s="7"/>
      <c r="T225" s="7"/>
      <c r="U225" s="7"/>
      <c r="V225" s="7"/>
      <c r="AU225" s="7"/>
    </row>
    <row r="226" spans="1:47" x14ac:dyDescent="0.2">
      <c r="A226" s="7"/>
      <c r="B226" s="7"/>
      <c r="C226" s="7"/>
      <c r="D226" s="7"/>
      <c r="E226" s="7"/>
      <c r="F226" s="7"/>
      <c r="G226" s="7"/>
      <c r="H226" s="7"/>
      <c r="I226" s="7"/>
      <c r="J226" s="7"/>
      <c r="K226" s="7"/>
      <c r="L226" s="7"/>
      <c r="M226" s="7"/>
      <c r="N226" s="7"/>
      <c r="O226" s="7"/>
      <c r="P226" s="7"/>
      <c r="Q226" s="7"/>
      <c r="R226" s="7"/>
      <c r="S226" s="7"/>
      <c r="T226" s="7"/>
      <c r="U226" s="7"/>
      <c r="V226" s="7"/>
      <c r="AU226" s="7"/>
    </row>
    <row r="227" spans="1:47" x14ac:dyDescent="0.2">
      <c r="A227" s="7"/>
      <c r="B227" s="7"/>
      <c r="C227" s="7"/>
      <c r="D227" s="7"/>
      <c r="E227" s="7"/>
      <c r="F227" s="7"/>
      <c r="G227" s="7"/>
      <c r="H227" s="7"/>
      <c r="I227" s="7"/>
      <c r="J227" s="7"/>
      <c r="K227" s="7"/>
      <c r="L227" s="7"/>
      <c r="M227" s="7"/>
      <c r="N227" s="7"/>
      <c r="O227" s="7"/>
      <c r="P227" s="7"/>
      <c r="Q227" s="7"/>
      <c r="R227" s="7"/>
      <c r="S227" s="7"/>
      <c r="T227" s="7"/>
      <c r="U227" s="7"/>
      <c r="V227" s="7"/>
      <c r="AU227" s="7"/>
    </row>
    <row r="228" spans="1:47" x14ac:dyDescent="0.2">
      <c r="A228" s="7"/>
      <c r="B228" s="7"/>
      <c r="C228" s="7"/>
      <c r="D228" s="7"/>
      <c r="E228" s="7"/>
      <c r="F228" s="7"/>
      <c r="G228" s="7"/>
      <c r="H228" s="7"/>
      <c r="I228" s="7"/>
      <c r="J228" s="7"/>
      <c r="K228" s="7"/>
      <c r="L228" s="7"/>
      <c r="M228" s="7"/>
      <c r="N228" s="7"/>
      <c r="O228" s="7"/>
      <c r="P228" s="7"/>
      <c r="Q228" s="7"/>
      <c r="R228" s="7"/>
      <c r="S228" s="7"/>
      <c r="T228" s="7"/>
      <c r="U228" s="7"/>
      <c r="V228" s="7"/>
      <c r="AU228" s="7"/>
    </row>
  </sheetData>
  <autoFilter ref="A8:CL25" xr:uid="{548AA1E9-6B0A-4DEA-A84C-D2696D5AD61C}"/>
  <phoneticPr fontId="25" type="noConversion"/>
  <conditionalFormatting sqref="E33:AP49">
    <cfRule type="duplicateValues" dxfId="0" priority="1"/>
  </conditionalFormatting>
  <hyperlinks>
    <hyperlink ref="C20" r:id="rId1" display="https://fantasy.premierleague.com/entry/1243183/history" xr:uid="{0517BF0F-1EBE-46FD-A0B3-43AFEE71348E}"/>
    <hyperlink ref="C25" r:id="rId2" display="https://fantasy.premierleague.com/entry/8695328/history" xr:uid="{89C4E56F-A5A3-431B-B82C-F1BB86F61F6D}"/>
    <hyperlink ref="C16" r:id="rId3" display="https://fantasy.premierleague.com/entry/7264842/history" xr:uid="{BA1EC2C1-CD06-4D4C-B95B-2137AE872623}"/>
    <hyperlink ref="C14" r:id="rId4" display="https://fantasy.premierleague.com/entry/7022245/history" xr:uid="{A6F0F30D-CB3C-4387-BCB3-450A256470D3}"/>
    <hyperlink ref="C13" r:id="rId5" display="https://fantasy.premierleague.com/entry/6487265/history" xr:uid="{73B5A092-0109-48C4-AF50-777ED3EC66A8}"/>
    <hyperlink ref="C21" r:id="rId6" display="https://fantasy.premierleague.com/entry/4764943/history" xr:uid="{6489B247-A044-49EE-B85F-8C0253FE9844}"/>
    <hyperlink ref="C24" r:id="rId7" display="https://fantasy.premierleague.com/entry/6410488/history" xr:uid="{D636E3E5-5614-49BE-879E-CF82EEB49637}"/>
    <hyperlink ref="C22" r:id="rId8" display="https://fantasy.premierleague.com/entry/6175620/history" xr:uid="{9689179A-5DB0-424A-BDA5-F517F0CA013B}"/>
    <hyperlink ref="C23" r:id="rId9" display="https://fantasy.premierleague.com/entry/4608814/history" xr:uid="{BE414726-9015-45E6-AD24-F0092EA920E7}"/>
    <hyperlink ref="C11" r:id="rId10" display="https://fantasy.premierleague.com/entry/3703048/history" xr:uid="{427A4AFD-89A2-4C00-86C3-A92A1D437F5B}"/>
    <hyperlink ref="C10" r:id="rId11" display="https://fantasy.premierleague.com/entry/5265465/history" xr:uid="{65772327-EE6D-4ACF-BA4C-85C8B54BDED7}"/>
    <hyperlink ref="C9" r:id="rId12" display="https://fantasy.premierleague.com/entry/5253170/history" xr:uid="{F8E343E3-6614-46BB-8715-6B4DC3DE8A77}"/>
    <hyperlink ref="C18" r:id="rId13" display="https://fantasy.premierleague.com/entry/5029495/history" xr:uid="{0B63F8EC-957C-4743-A69A-FA72698DADF2}"/>
    <hyperlink ref="C15" r:id="rId14" display="https://fantasy.premierleague.com/entry/4990240/history" xr:uid="{08462D4E-18CB-4F52-943B-597F0122B58B}"/>
    <hyperlink ref="C17" r:id="rId15" display="https://fantasy.premierleague.com/entry/3983382/history" xr:uid="{0E459198-232A-4C74-8CEA-F798987804D6}"/>
    <hyperlink ref="C12" r:id="rId16" display="https://fantasy.premierleague.com/entry/3390995/history" xr:uid="{90FE59AC-5420-4B2D-A126-8B9E2839E6F5}"/>
    <hyperlink ref="C19" r:id="rId17" display="https://fantasy.premierleague.com/entry/8924713/history" xr:uid="{F1004010-2778-48E6-A4B1-2EC9C710A203}"/>
    <hyperlink ref="AS20" r:id="rId18" display="https://fantasy.premierleague.com/entry/1243183/history" xr:uid="{D9E4D060-D03B-45DB-850B-B89F041091EE}"/>
    <hyperlink ref="AS25" r:id="rId19" display="https://fantasy.premierleague.com/entry/8695328/history" xr:uid="{B6909759-A249-42C5-AA20-755FAF1C2733}"/>
    <hyperlink ref="AS16" r:id="rId20" display="https://fantasy.premierleague.com/entry/7264842/history" xr:uid="{72AEC24F-0804-4DD0-808B-1EA9C16CDB57}"/>
    <hyperlink ref="AS14" r:id="rId21" display="https://fantasy.premierleague.com/entry/7022245/history" xr:uid="{EEF78BC6-2C9E-4CFC-827C-3C1D3F01CE03}"/>
    <hyperlink ref="AS13" r:id="rId22" display="https://fantasy.premierleague.com/entry/6487265/history" xr:uid="{07816CD8-8F6B-40D7-BB8E-918DC7221445}"/>
    <hyperlink ref="AS21" r:id="rId23" display="https://fantasy.premierleague.com/entry/4764943/history" xr:uid="{3C67EE17-A3AC-41DB-8ECF-8C49F9B6D555}"/>
    <hyperlink ref="AS24" r:id="rId24" display="https://fantasy.premierleague.com/entry/6410488/history" xr:uid="{BC0F7B90-67FD-497B-B4CF-BA1220C75883}"/>
    <hyperlink ref="AS22" r:id="rId25" display="https://fantasy.premierleague.com/entry/6175620/history" xr:uid="{706F793F-18F5-44C2-8ECC-B44CC6A07EB6}"/>
    <hyperlink ref="AS23" r:id="rId26" display="https://fantasy.premierleague.com/entry/4608814/history" xr:uid="{DED9C641-0440-4364-B591-D62B37CEE5C7}"/>
    <hyperlink ref="AS11" r:id="rId27" display="https://fantasy.premierleague.com/entry/3703048/history" xr:uid="{47BDFC18-8512-4BCC-9E63-BC7839377851}"/>
    <hyperlink ref="AS10" r:id="rId28" display="https://fantasy.premierleague.com/entry/5265465/history" xr:uid="{B27FC126-8D6B-4581-A2AD-76F5139E8319}"/>
    <hyperlink ref="AS9" r:id="rId29" display="https://fantasy.premierleague.com/entry/5253170/history" xr:uid="{19A6B61D-45A4-4EBC-8237-8EE844E8624D}"/>
    <hyperlink ref="AS18" r:id="rId30" display="https://fantasy.premierleague.com/entry/5029495/history" xr:uid="{29E4EA4F-0875-480E-9DFB-FD34BB1DCF7C}"/>
    <hyperlink ref="AS15" r:id="rId31" display="https://fantasy.premierleague.com/entry/4990240/history" xr:uid="{8122F8F9-8FD9-4FA9-8C8C-A56F8D79C47B}"/>
    <hyperlink ref="AS17" r:id="rId32" display="https://fantasy.premierleague.com/entry/3983382/history" xr:uid="{26CFBA84-DA44-49E5-B11F-D20EBEE968F9}"/>
    <hyperlink ref="AS12" r:id="rId33" display="https://fantasy.premierleague.com/entry/3390995/history" xr:uid="{DB06EF12-4A10-4EB2-913A-3FEA3F332855}"/>
    <hyperlink ref="AS19" r:id="rId34" display="https://fantasy.premierleague.com/entry/8924713/history" xr:uid="{BF973DB8-FDAA-45B6-B951-A12AB8DC7F98}"/>
    <hyperlink ref="CH20" r:id="rId35" display="https://fantasy.premierleague.com/entry/1243183/history" xr:uid="{5FA32D65-9E91-4B23-9930-B102598215DF}"/>
    <hyperlink ref="CH25" r:id="rId36" display="https://fantasy.premierleague.com/entry/8695328/history" xr:uid="{BF8A6D6C-9864-4617-ADAF-A071A70E6D6F}"/>
    <hyperlink ref="CH16" r:id="rId37" display="https://fantasy.premierleague.com/entry/7264842/history" xr:uid="{F5728967-7439-4276-81D7-2261C0463328}"/>
    <hyperlink ref="CH14" r:id="rId38" display="https://fantasy.premierleague.com/entry/7022245/history" xr:uid="{2C010140-FD5F-49A2-AC96-35F43310E77C}"/>
    <hyperlink ref="CH13" r:id="rId39" display="https://fantasy.premierleague.com/entry/6487265/history" xr:uid="{EEEC58F8-662D-4B8E-AE37-723511A30286}"/>
    <hyperlink ref="CH21" r:id="rId40" display="https://fantasy.premierleague.com/entry/4764943/history" xr:uid="{561C89F5-B2B2-435D-AFC0-832435D93C2D}"/>
    <hyperlink ref="CH24" r:id="rId41" display="https://fantasy.premierleague.com/entry/6410488/history" xr:uid="{715D3EFB-D4F6-43D3-A9A2-EA5C169890B6}"/>
    <hyperlink ref="CH22" r:id="rId42" display="https://fantasy.premierleague.com/entry/6175620/history" xr:uid="{FB4F7B8E-86B7-4BEA-B033-39792CE35D4E}"/>
    <hyperlink ref="CH23" r:id="rId43" display="https://fantasy.premierleague.com/entry/4608814/history" xr:uid="{15FAA851-B83C-4E6F-B74C-660FF7B48CCE}"/>
    <hyperlink ref="CH11" r:id="rId44" display="https://fantasy.premierleague.com/entry/3703048/history" xr:uid="{058C265F-356A-4DD2-9003-2992829EFF3C}"/>
    <hyperlink ref="CH10" r:id="rId45" display="https://fantasy.premierleague.com/entry/5265465/history" xr:uid="{79FCFEE5-3A53-4C68-9B36-A8763B74A951}"/>
    <hyperlink ref="CH9" r:id="rId46" display="https://fantasy.premierleague.com/entry/5253170/history" xr:uid="{8F29434A-8038-4412-882A-1E65BC1EC8E9}"/>
    <hyperlink ref="CH18" r:id="rId47" display="https://fantasy.premierleague.com/entry/5029495/history" xr:uid="{75F11E22-A087-4C0E-B331-8B7DD6A8984F}"/>
    <hyperlink ref="CH15" r:id="rId48" display="https://fantasy.premierleague.com/entry/4990240/history" xr:uid="{FFDE2276-0273-4954-998C-2D3588B6F9DC}"/>
    <hyperlink ref="CH17" r:id="rId49" display="https://fantasy.premierleague.com/entry/3983382/history" xr:uid="{F0514D6B-C517-4C22-9007-C5DBCBBA12D8}"/>
    <hyperlink ref="CH12" r:id="rId50" display="https://fantasy.premierleague.com/entry/3390995/history" xr:uid="{499ECE22-E900-4A47-A543-69690ACE760D}"/>
    <hyperlink ref="CH19" r:id="rId51" display="https://fantasy.premierleague.com/entry/8924713/history" xr:uid="{CC5156C8-0E63-4E52-803C-8BDBC5BFA873}"/>
  </hyperlinks>
  <pageMargins left="0.7" right="0.7" top="0.75" bottom="0.75" header="0" footer="0"/>
  <pageSetup paperSize="9" orientation="portrait" r:id="rId52"/>
  <drawing r:id="rId5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306223-0E19-432D-B77A-39954AB54E2B}">
  <dimension ref="B2:D19"/>
  <sheetViews>
    <sheetView showGridLines="0" workbookViewId="0">
      <selection activeCell="D19" sqref="D19"/>
    </sheetView>
  </sheetViews>
  <sheetFormatPr defaultRowHeight="12.75" x14ac:dyDescent="0.2"/>
  <cols>
    <col min="2" max="2" width="17.42578125" bestFit="1" customWidth="1"/>
    <col min="3" max="3" width="17.28515625" bestFit="1" customWidth="1"/>
  </cols>
  <sheetData>
    <row r="2" spans="2:4" x14ac:dyDescent="0.2">
      <c r="B2" s="56" t="s">
        <v>25</v>
      </c>
      <c r="C2" s="56" t="s">
        <v>26</v>
      </c>
      <c r="D2" s="56" t="s">
        <v>29</v>
      </c>
    </row>
    <row r="3" spans="2:4" x14ac:dyDescent="0.2">
      <c r="B3" s="21" t="s">
        <v>59</v>
      </c>
      <c r="C3" s="54" t="s">
        <v>60</v>
      </c>
      <c r="D3">
        <v>2084</v>
      </c>
    </row>
    <row r="4" spans="2:4" x14ac:dyDescent="0.2">
      <c r="B4" s="21" t="s">
        <v>43</v>
      </c>
      <c r="C4" s="54" t="s">
        <v>44</v>
      </c>
      <c r="D4">
        <v>2005</v>
      </c>
    </row>
    <row r="5" spans="2:4" x14ac:dyDescent="0.2">
      <c r="B5" s="21" t="s">
        <v>39</v>
      </c>
      <c r="C5" s="54" t="s">
        <v>40</v>
      </c>
      <c r="D5">
        <v>1995</v>
      </c>
    </row>
    <row r="6" spans="2:4" x14ac:dyDescent="0.2">
      <c r="B6" s="21" t="s">
        <v>67</v>
      </c>
      <c r="C6" s="54" t="s">
        <v>68</v>
      </c>
      <c r="D6">
        <v>1972</v>
      </c>
    </row>
    <row r="7" spans="2:4" x14ac:dyDescent="0.2">
      <c r="B7" s="21" t="s">
        <v>52</v>
      </c>
      <c r="C7" s="54" t="s">
        <v>53</v>
      </c>
      <c r="D7">
        <v>1969</v>
      </c>
    </row>
    <row r="8" spans="2:4" x14ac:dyDescent="0.2">
      <c r="B8" s="21" t="s">
        <v>47</v>
      </c>
      <c r="C8" s="54" t="s">
        <v>48</v>
      </c>
      <c r="D8">
        <v>1950</v>
      </c>
    </row>
    <row r="9" spans="2:4" x14ac:dyDescent="0.2">
      <c r="B9" s="21" t="s">
        <v>37</v>
      </c>
      <c r="C9" s="54" t="s">
        <v>38</v>
      </c>
      <c r="D9">
        <v>1908</v>
      </c>
    </row>
    <row r="10" spans="2:4" x14ac:dyDescent="0.2">
      <c r="B10" s="21" t="s">
        <v>65</v>
      </c>
      <c r="C10" s="54" t="s">
        <v>66</v>
      </c>
      <c r="D10">
        <v>1868</v>
      </c>
    </row>
    <row r="11" spans="2:4" x14ac:dyDescent="0.2">
      <c r="B11" s="21" t="s">
        <v>63</v>
      </c>
      <c r="C11" s="54" t="s">
        <v>64</v>
      </c>
      <c r="D11">
        <v>1864</v>
      </c>
    </row>
    <row r="12" spans="2:4" x14ac:dyDescent="0.2">
      <c r="B12" s="21" t="s">
        <v>45</v>
      </c>
      <c r="C12" s="54" t="s">
        <v>46</v>
      </c>
      <c r="D12">
        <v>1825</v>
      </c>
    </row>
    <row r="13" spans="2:4" x14ac:dyDescent="0.2">
      <c r="B13" s="21" t="s">
        <v>57</v>
      </c>
      <c r="C13" s="54" t="s">
        <v>58</v>
      </c>
      <c r="D13">
        <v>1819</v>
      </c>
    </row>
    <row r="14" spans="2:4" x14ac:dyDescent="0.2">
      <c r="B14" s="21" t="s">
        <v>49</v>
      </c>
      <c r="C14" s="54" t="s">
        <v>50</v>
      </c>
      <c r="D14">
        <v>1817</v>
      </c>
    </row>
    <row r="15" spans="2:4" x14ac:dyDescent="0.2">
      <c r="B15" s="21" t="s">
        <v>32</v>
      </c>
      <c r="C15" s="54" t="s">
        <v>33</v>
      </c>
      <c r="D15">
        <v>1810</v>
      </c>
    </row>
    <row r="16" spans="2:4" x14ac:dyDescent="0.2">
      <c r="B16" s="21" t="s">
        <v>35</v>
      </c>
      <c r="C16" s="54" t="s">
        <v>36</v>
      </c>
      <c r="D16">
        <v>1797</v>
      </c>
    </row>
    <row r="17" spans="2:4" x14ac:dyDescent="0.2">
      <c r="B17" s="21" t="s">
        <v>55</v>
      </c>
      <c r="C17" s="54" t="s">
        <v>56</v>
      </c>
      <c r="D17">
        <v>1791</v>
      </c>
    </row>
    <row r="18" spans="2:4" x14ac:dyDescent="0.2">
      <c r="B18" s="21" t="s">
        <v>61</v>
      </c>
      <c r="C18" s="54" t="s">
        <v>62</v>
      </c>
      <c r="D18">
        <v>1742</v>
      </c>
    </row>
    <row r="19" spans="2:4" x14ac:dyDescent="0.2">
      <c r="B19" s="21" t="s">
        <v>41</v>
      </c>
      <c r="C19" s="54" t="s">
        <v>42</v>
      </c>
      <c r="D19">
        <v>1717</v>
      </c>
    </row>
  </sheetData>
  <hyperlinks>
    <hyperlink ref="B13" r:id="rId1" display="https://fantasy.premierleague.com/entry/1243183/history" xr:uid="{EBF2D48B-EDE0-497E-BFB1-16CCBAB0A54D}"/>
    <hyperlink ref="B6" r:id="rId2" display="https://fantasy.premierleague.com/entry/8695328/history" xr:uid="{A2D969EB-E8BA-40A1-9AF4-37D91506E8FE}"/>
    <hyperlink ref="B8" r:id="rId3" display="https://fantasy.premierleague.com/entry/7264842/history" xr:uid="{2EF633B7-45F4-491D-BECF-4FA2513533E8}"/>
    <hyperlink ref="B4" r:id="rId4" display="https://fantasy.premierleague.com/entry/7022245/history" xr:uid="{B41A1C5B-FED9-4072-B529-B1EBE5EA6CB4}"/>
    <hyperlink ref="B19" r:id="rId5" display="https://fantasy.premierleague.com/entry/6487265/history" xr:uid="{6C121C95-AE40-4578-A399-3A1D6A98BD17}"/>
    <hyperlink ref="B3" r:id="rId6" display="https://fantasy.premierleague.com/entry/4764943/history" xr:uid="{D3B901B9-7EFE-40B4-8F05-3092428C3395}"/>
    <hyperlink ref="B10" r:id="rId7" display="https://fantasy.premierleague.com/entry/6410488/history" xr:uid="{17A98B03-4369-4C2D-80C6-00E5FCEA40CE}"/>
    <hyperlink ref="B18" r:id="rId8" display="https://fantasy.premierleague.com/entry/6175620/history" xr:uid="{E626A6F8-6ED9-4DDC-9972-68A9D88336D7}"/>
    <hyperlink ref="B11" r:id="rId9" display="https://fantasy.premierleague.com/entry/4608814/history" xr:uid="{1B1EE12D-E455-4D77-A236-E5822688636C}"/>
    <hyperlink ref="B9" r:id="rId10" display="https://fantasy.premierleague.com/entry/3703048/history" xr:uid="{7CF118B9-8312-43FE-94AA-7F23E5429259}"/>
    <hyperlink ref="B16" r:id="rId11" display="https://fantasy.premierleague.com/entry/5265465/history" xr:uid="{8109EC55-BCF2-479D-9FEC-2C735E2413EB}"/>
    <hyperlink ref="B15" r:id="rId12" display="https://fantasy.premierleague.com/entry/5253170/history" xr:uid="{D8BD628C-8933-4686-8BE7-4FE334517DEE}"/>
    <hyperlink ref="B7" r:id="rId13" display="https://fantasy.premierleague.com/entry/5029495/history" xr:uid="{9A9E86D3-CCA7-42A2-8BE1-3A3966D792AF}"/>
    <hyperlink ref="B12" r:id="rId14" display="https://fantasy.premierleague.com/entry/4990240/history" xr:uid="{60F293CC-7D08-49B7-8175-3B71F1D8A801}"/>
    <hyperlink ref="B14" r:id="rId15" display="https://fantasy.premierleague.com/entry/3983382/history" xr:uid="{9BB9554C-0406-49AE-AB08-D9A901CC5E1F}"/>
    <hyperlink ref="B5" r:id="rId16" display="https://fantasy.premierleague.com/entry/3390995/history" xr:uid="{E8F3EC52-C5C6-4370-9409-E0B967F32145}"/>
    <hyperlink ref="B17" r:id="rId17" display="https://fantasy.premierleague.com/entry/8924713/history" xr:uid="{8C723B76-1C3B-456C-80DD-E873991A6AA8}"/>
  </hyperlink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94D2D6-078F-478E-9ECB-1E23669102FD}">
  <dimension ref="A2:O23"/>
  <sheetViews>
    <sheetView showGridLines="0" workbookViewId="0">
      <selection activeCell="M6" sqref="M6"/>
    </sheetView>
  </sheetViews>
  <sheetFormatPr defaultRowHeight="11.25" x14ac:dyDescent="0.2"/>
  <cols>
    <col min="1" max="1" width="1.140625" style="8" customWidth="1"/>
    <col min="2" max="2" width="3.140625" style="8" customWidth="1"/>
    <col min="3" max="3" width="17.28515625" style="8" bestFit="1" customWidth="1"/>
    <col min="4" max="4" width="17.28515625" style="8" hidden="1" customWidth="1"/>
    <col min="5" max="5" width="7.140625" style="8" bestFit="1" customWidth="1"/>
    <col min="6" max="6" width="10.28515625" style="8" bestFit="1" customWidth="1"/>
    <col min="7" max="7" width="7.7109375" style="8" bestFit="1" customWidth="1"/>
    <col min="8" max="9" width="9.5703125" style="8" bestFit="1" customWidth="1"/>
    <col min="10" max="10" width="7.5703125" style="8" bestFit="1" customWidth="1"/>
    <col min="11" max="11" width="8.42578125" style="8" bestFit="1" customWidth="1"/>
    <col min="12" max="12" width="6.28515625" style="8" bestFit="1" customWidth="1"/>
    <col min="13" max="13" width="5.140625" style="8" bestFit="1" customWidth="1"/>
    <col min="14" max="14" width="4.140625" style="8" bestFit="1" customWidth="1"/>
    <col min="15" max="15" width="5.28515625" style="8" bestFit="1" customWidth="1"/>
    <col min="16" max="16384" width="9.140625" style="8"/>
  </cols>
  <sheetData>
    <row r="2" spans="2:15" ht="22.5" x14ac:dyDescent="0.2">
      <c r="B2" s="93" t="s">
        <v>24</v>
      </c>
      <c r="C2" s="109" t="s">
        <v>25</v>
      </c>
      <c r="D2" s="109" t="s">
        <v>26</v>
      </c>
      <c r="E2" s="151" t="s">
        <v>199</v>
      </c>
      <c r="F2" s="151"/>
      <c r="G2" s="151"/>
      <c r="H2" s="151"/>
      <c r="I2" s="151"/>
      <c r="J2" s="151"/>
      <c r="K2" s="151"/>
      <c r="L2" s="151"/>
      <c r="M2" s="151"/>
      <c r="N2" s="151"/>
      <c r="O2" s="109"/>
    </row>
    <row r="3" spans="2:15" x14ac:dyDescent="0.2">
      <c r="B3" s="94"/>
      <c r="C3" s="94"/>
      <c r="D3" s="94"/>
      <c r="E3" s="95" t="s">
        <v>200</v>
      </c>
      <c r="F3" s="95" t="s">
        <v>201</v>
      </c>
      <c r="G3" s="95" t="s">
        <v>202</v>
      </c>
      <c r="H3" s="95" t="s">
        <v>203</v>
      </c>
      <c r="I3" s="95" t="s">
        <v>204</v>
      </c>
      <c r="J3" s="95" t="s">
        <v>205</v>
      </c>
      <c r="K3" s="95" t="s">
        <v>206</v>
      </c>
      <c r="L3" s="95" t="s">
        <v>207</v>
      </c>
      <c r="M3" s="95" t="s">
        <v>208</v>
      </c>
      <c r="N3" s="95" t="s">
        <v>209</v>
      </c>
      <c r="O3" s="95" t="s">
        <v>76</v>
      </c>
    </row>
    <row r="4" spans="2:15" x14ac:dyDescent="0.2">
      <c r="B4" s="12">
        <v>1</v>
      </c>
      <c r="C4" s="21" t="s">
        <v>32</v>
      </c>
      <c r="D4" s="54" t="s">
        <v>33</v>
      </c>
      <c r="F4" s="8">
        <v>250</v>
      </c>
      <c r="J4" s="8">
        <v>700</v>
      </c>
      <c r="O4" s="61">
        <f>SUM(E4:N4)</f>
        <v>950</v>
      </c>
    </row>
    <row r="5" spans="2:15" x14ac:dyDescent="0.2">
      <c r="B5" s="12">
        <v>2</v>
      </c>
      <c r="C5" s="21" t="s">
        <v>35</v>
      </c>
      <c r="D5" s="54" t="s">
        <v>36</v>
      </c>
      <c r="G5" s="8">
        <f>250+200</f>
        <v>450</v>
      </c>
      <c r="I5" s="8">
        <v>500</v>
      </c>
      <c r="M5" s="8">
        <v>300</v>
      </c>
      <c r="O5" s="61">
        <f t="shared" ref="O5:O20" si="0">SUM(E5:N5)</f>
        <v>1250</v>
      </c>
    </row>
    <row r="6" spans="2:15" x14ac:dyDescent="0.2">
      <c r="B6" s="12">
        <v>3</v>
      </c>
      <c r="C6" s="21" t="s">
        <v>37</v>
      </c>
      <c r="D6" s="54" t="s">
        <v>38</v>
      </c>
      <c r="G6" s="8">
        <v>250</v>
      </c>
      <c r="J6" s="8">
        <v>200</v>
      </c>
      <c r="O6" s="61">
        <f t="shared" si="0"/>
        <v>450</v>
      </c>
    </row>
    <row r="7" spans="2:15" x14ac:dyDescent="0.2">
      <c r="B7" s="12">
        <v>4</v>
      </c>
      <c r="C7" s="21" t="s">
        <v>39</v>
      </c>
      <c r="D7" s="54" t="s">
        <v>40</v>
      </c>
      <c r="F7" s="8">
        <v>250</v>
      </c>
      <c r="J7" s="8">
        <v>100</v>
      </c>
      <c r="M7" s="8">
        <v>200</v>
      </c>
      <c r="O7" s="61">
        <f t="shared" si="0"/>
        <v>550</v>
      </c>
    </row>
    <row r="8" spans="2:15" x14ac:dyDescent="0.2">
      <c r="B8" s="12">
        <v>5</v>
      </c>
      <c r="C8" s="21" t="s">
        <v>41</v>
      </c>
      <c r="D8" s="54" t="s">
        <v>42</v>
      </c>
      <c r="G8" s="8">
        <v>250</v>
      </c>
      <c r="J8" s="8">
        <v>700</v>
      </c>
      <c r="O8" s="61">
        <f t="shared" si="0"/>
        <v>950</v>
      </c>
    </row>
    <row r="9" spans="2:15" x14ac:dyDescent="0.2">
      <c r="B9" s="12">
        <v>6</v>
      </c>
      <c r="C9" s="21" t="s">
        <v>43</v>
      </c>
      <c r="D9" s="54" t="s">
        <v>44</v>
      </c>
      <c r="F9" s="8">
        <v>250</v>
      </c>
      <c r="I9" s="8">
        <v>100</v>
      </c>
      <c r="J9" s="8">
        <f>100+100</f>
        <v>200</v>
      </c>
      <c r="O9" s="61">
        <f t="shared" si="0"/>
        <v>550</v>
      </c>
    </row>
    <row r="10" spans="2:15" x14ac:dyDescent="0.2">
      <c r="B10" s="12">
        <v>7</v>
      </c>
      <c r="C10" s="21" t="s">
        <v>45</v>
      </c>
      <c r="D10" s="54" t="s">
        <v>46</v>
      </c>
      <c r="E10" s="8">
        <v>250</v>
      </c>
      <c r="I10" s="8">
        <v>300</v>
      </c>
      <c r="M10" s="8">
        <v>200</v>
      </c>
      <c r="O10" s="61">
        <f t="shared" si="0"/>
        <v>750</v>
      </c>
    </row>
    <row r="11" spans="2:15" x14ac:dyDescent="0.2">
      <c r="B11" s="12">
        <v>8</v>
      </c>
      <c r="C11" s="21" t="s">
        <v>47</v>
      </c>
      <c r="D11" s="54" t="s">
        <v>48</v>
      </c>
      <c r="G11" s="8">
        <v>250</v>
      </c>
      <c r="J11" s="8">
        <f>300+100</f>
        <v>400</v>
      </c>
      <c r="O11" s="61">
        <f t="shared" si="0"/>
        <v>650</v>
      </c>
    </row>
    <row r="12" spans="2:15" x14ac:dyDescent="0.2">
      <c r="B12" s="12">
        <v>9</v>
      </c>
      <c r="C12" s="21" t="s">
        <v>49</v>
      </c>
      <c r="D12" s="85" t="s">
        <v>50</v>
      </c>
      <c r="O12" s="61">
        <f t="shared" si="0"/>
        <v>0</v>
      </c>
    </row>
    <row r="13" spans="2:15" x14ac:dyDescent="0.2">
      <c r="B13" s="12">
        <v>10</v>
      </c>
      <c r="C13" s="21" t="s">
        <v>52</v>
      </c>
      <c r="D13" s="54" t="s">
        <v>53</v>
      </c>
      <c r="G13" s="8">
        <v>250</v>
      </c>
      <c r="H13" s="8">
        <v>100</v>
      </c>
      <c r="I13" s="8">
        <v>200</v>
      </c>
      <c r="K13" s="8">
        <v>100</v>
      </c>
      <c r="O13" s="61">
        <f t="shared" si="0"/>
        <v>650</v>
      </c>
    </row>
    <row r="14" spans="2:15" x14ac:dyDescent="0.2">
      <c r="B14" s="12">
        <v>11</v>
      </c>
      <c r="C14" s="21" t="s">
        <v>55</v>
      </c>
      <c r="D14" s="54" t="s">
        <v>56</v>
      </c>
      <c r="F14" s="8">
        <v>350</v>
      </c>
      <c r="I14" s="8">
        <v>700</v>
      </c>
      <c r="O14" s="61">
        <f t="shared" si="0"/>
        <v>1050</v>
      </c>
    </row>
    <row r="15" spans="2:15" x14ac:dyDescent="0.2">
      <c r="B15" s="12">
        <v>12</v>
      </c>
      <c r="C15" s="21" t="s">
        <v>57</v>
      </c>
      <c r="D15" s="54" t="s">
        <v>58</v>
      </c>
      <c r="F15" s="8">
        <v>250</v>
      </c>
      <c r="I15" s="8">
        <f>500+100</f>
        <v>600</v>
      </c>
      <c r="K15" s="8">
        <v>100</v>
      </c>
      <c r="O15" s="61">
        <f t="shared" si="0"/>
        <v>950</v>
      </c>
    </row>
    <row r="16" spans="2:15" x14ac:dyDescent="0.2">
      <c r="B16" s="12">
        <v>13</v>
      </c>
      <c r="C16" s="21" t="s">
        <v>59</v>
      </c>
      <c r="D16" s="54" t="s">
        <v>60</v>
      </c>
      <c r="G16" s="8">
        <v>250</v>
      </c>
      <c r="J16" s="8">
        <v>200</v>
      </c>
      <c r="O16" s="61">
        <f t="shared" si="0"/>
        <v>450</v>
      </c>
    </row>
    <row r="17" spans="1:15" x14ac:dyDescent="0.2">
      <c r="B17" s="12">
        <v>14</v>
      </c>
      <c r="C17" s="21" t="s">
        <v>61</v>
      </c>
      <c r="D17" s="54" t="s">
        <v>62</v>
      </c>
      <c r="G17" s="8">
        <v>250</v>
      </c>
      <c r="I17" s="8">
        <v>750</v>
      </c>
      <c r="O17" s="61">
        <f t="shared" si="0"/>
        <v>1000</v>
      </c>
    </row>
    <row r="18" spans="1:15" x14ac:dyDescent="0.2">
      <c r="B18" s="12">
        <v>15</v>
      </c>
      <c r="C18" s="21" t="s">
        <v>63</v>
      </c>
      <c r="D18" s="85" t="s">
        <v>64</v>
      </c>
      <c r="G18" s="8">
        <v>250</v>
      </c>
      <c r="I18" s="8">
        <v>400</v>
      </c>
      <c r="O18" s="61">
        <f t="shared" si="0"/>
        <v>650</v>
      </c>
    </row>
    <row r="19" spans="1:15" x14ac:dyDescent="0.2">
      <c r="B19" s="12">
        <v>16</v>
      </c>
      <c r="C19" s="21" t="s">
        <v>65</v>
      </c>
      <c r="D19" s="85" t="s">
        <v>66</v>
      </c>
      <c r="J19" s="8">
        <v>650</v>
      </c>
      <c r="M19" s="8">
        <v>400</v>
      </c>
      <c r="O19" s="61">
        <f t="shared" si="0"/>
        <v>1050</v>
      </c>
    </row>
    <row r="20" spans="1:15" x14ac:dyDescent="0.2">
      <c r="B20" s="12">
        <v>17</v>
      </c>
      <c r="C20" s="21" t="s">
        <v>67</v>
      </c>
      <c r="D20" s="54" t="s">
        <v>68</v>
      </c>
      <c r="E20" s="8">
        <v>250</v>
      </c>
      <c r="O20" s="61">
        <f t="shared" si="0"/>
        <v>250</v>
      </c>
    </row>
    <row r="21" spans="1:15" s="96" customFormat="1" ht="12" thickBot="1" x14ac:dyDescent="0.25">
      <c r="A21" s="8"/>
      <c r="B21" s="8"/>
      <c r="C21" s="8"/>
      <c r="O21" s="99">
        <f>SUM(O4:O20)</f>
        <v>12150</v>
      </c>
    </row>
    <row r="22" spans="1:15" s="96" customFormat="1" x14ac:dyDescent="0.2">
      <c r="A22" s="8"/>
      <c r="B22" s="8"/>
      <c r="E22" s="100"/>
      <c r="F22" s="100"/>
      <c r="G22" s="100"/>
      <c r="H22" s="100"/>
      <c r="I22" s="100"/>
      <c r="J22" s="100"/>
      <c r="K22" s="100"/>
      <c r="L22" s="100"/>
      <c r="M22" s="100"/>
      <c r="N22" s="100"/>
    </row>
    <row r="23" spans="1:15" s="96" customFormat="1" x14ac:dyDescent="0.2">
      <c r="A23" s="8"/>
      <c r="B23" s="8"/>
      <c r="C23" s="8"/>
    </row>
  </sheetData>
  <mergeCells count="1">
    <mergeCell ref="E2:N2"/>
  </mergeCells>
  <hyperlinks>
    <hyperlink ref="C15" r:id="rId1" display="https://fantasy.premierleague.com/entry/1243183/history" xr:uid="{F7D0554C-E04A-4643-9A97-DA9AA0524B34}"/>
    <hyperlink ref="C20" r:id="rId2" display="https://fantasy.premierleague.com/entry/8695328/history" xr:uid="{66B8BAE1-315A-4666-934A-DB3090F76C65}"/>
    <hyperlink ref="C11" r:id="rId3" display="https://fantasy.premierleague.com/entry/7264842/history" xr:uid="{9AB67CA2-D1B0-42B6-B1FE-EBB91EBBE6E4}"/>
    <hyperlink ref="C9" r:id="rId4" display="https://fantasy.premierleague.com/entry/7022245/history" xr:uid="{68339C02-7906-43D3-AF13-223A02DC154A}"/>
    <hyperlink ref="C8" r:id="rId5" display="https://fantasy.premierleague.com/entry/6487265/history" xr:uid="{AFC69DA8-1BB0-4666-9FF8-D3E59AC7A4C7}"/>
    <hyperlink ref="C16" r:id="rId6" display="https://fantasy.premierleague.com/entry/4764943/history" xr:uid="{C905E044-2DB2-45F8-8D2C-AB3AFF20CC28}"/>
    <hyperlink ref="C19" r:id="rId7" display="https://fantasy.premierleague.com/entry/6410488/history" xr:uid="{E57D271B-8D8E-428B-9982-AAB2DA41FBC5}"/>
    <hyperlink ref="C17" r:id="rId8" display="https://fantasy.premierleague.com/entry/6175620/history" xr:uid="{5F3F4F0B-1EB4-42E4-8873-282426DC25A8}"/>
    <hyperlink ref="C18" r:id="rId9" display="https://fantasy.premierleague.com/entry/4608814/history" xr:uid="{6E7A9397-2EED-4965-B1B3-27D0CAF44717}"/>
    <hyperlink ref="C6" r:id="rId10" display="https://fantasy.premierleague.com/entry/3703048/history" xr:uid="{40819370-2705-4A64-9A13-F6428F028282}"/>
    <hyperlink ref="C5" r:id="rId11" display="https://fantasy.premierleague.com/entry/5265465/history" xr:uid="{AD69FC6B-6A0C-4C51-BB43-CA725C64D079}"/>
    <hyperlink ref="C4" r:id="rId12" display="https://fantasy.premierleague.com/entry/5253170/history" xr:uid="{D293902B-24BD-4785-9BD2-02DFA7EED531}"/>
    <hyperlink ref="C13" r:id="rId13" display="https://fantasy.premierleague.com/entry/5029495/history" xr:uid="{562FC862-9FA7-4D1E-A69B-AFF9AE785C8E}"/>
    <hyperlink ref="C10" r:id="rId14" display="https://fantasy.premierleague.com/entry/4990240/history" xr:uid="{0911993F-24AF-4407-B533-EA38604B78FA}"/>
    <hyperlink ref="C12" r:id="rId15" display="https://fantasy.premierleague.com/entry/3983382/history" xr:uid="{A14EE9B8-12DE-4E76-9D8E-C83DB2EEB5A6}"/>
    <hyperlink ref="C7" r:id="rId16" display="https://fantasy.premierleague.com/entry/3390995/history" xr:uid="{BFF61A38-9D72-442D-9C2C-65555B714189}"/>
    <hyperlink ref="C14" r:id="rId17" display="https://fantasy.premierleague.com/entry/8924713/history" xr:uid="{4720F0C6-7124-4A9E-B589-A2D8C212B3ED}"/>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Rules_202625</vt:lpstr>
      <vt:lpstr>FPL</vt:lpstr>
      <vt:lpstr>Roster</vt:lpstr>
      <vt:lpstr>Budget</vt:lpstr>
      <vt:lpstr>Sheet1</vt:lpstr>
      <vt:lpstr>Last Man Paying 2.0</vt:lpstr>
      <vt:lpstr>Stats</vt:lpstr>
      <vt:lpstr>Sheet2</vt:lpstr>
      <vt:lpstr>Funds Received</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Thembalethu Miya</cp:lastModifiedBy>
  <cp:revision/>
  <dcterms:created xsi:type="dcterms:W3CDTF">2026-04-18T07:05:23Z</dcterms:created>
  <dcterms:modified xsi:type="dcterms:W3CDTF">2026-05-05T06:36:21Z</dcterms:modified>
  <cp:category/>
  <cp:contentStatus/>
</cp:coreProperties>
</file>